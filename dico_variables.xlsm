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95" windowWidth="20115" windowHeight="6210"/>
  </bookViews>
  <sheets>
    <sheet name="Dictionnaire des variables" sheetId="2" r:id="rId1"/>
    <sheet name="dico_variables" sheetId="8" r:id="rId2"/>
    <sheet name="Type et couleur" sheetId="9" r:id="rId3"/>
    <sheet name="Ajout nouvelles variables" sheetId="10" r:id="rId4"/>
    <sheet name="Modifs" sheetId="12" r:id="rId5"/>
  </sheets>
  <definedNames>
    <definedName name="_xlnm._FilterDatabase" localSheetId="3" hidden="1">'Ajout nouvelles variables'!$B$4:$C$836</definedName>
    <definedName name="_xlnm._FilterDatabase" localSheetId="1" hidden="1">dico_variables!$A$1:$J$220</definedName>
    <definedName name="_xlnm._FilterDatabase" localSheetId="0" hidden="1">'Dictionnaire des variables'!$B$2:$H$872</definedName>
  </definedNames>
  <calcPr calcId="145621"/>
</workbook>
</file>

<file path=xl/calcChain.xml><?xml version="1.0" encoding="utf-8"?>
<calcChain xmlns="http://schemas.openxmlformats.org/spreadsheetml/2006/main">
  <c r="J234" i="8" l="1"/>
  <c r="I234" i="8"/>
  <c r="I230" i="8" l="1"/>
  <c r="J230" i="8"/>
  <c r="I231" i="8"/>
  <c r="J231" i="8"/>
  <c r="I232" i="8"/>
  <c r="J232" i="8"/>
  <c r="I233" i="8"/>
  <c r="J233" i="8"/>
  <c r="I221" i="8"/>
  <c r="J221" i="8"/>
  <c r="I222" i="8"/>
  <c r="J222" i="8"/>
  <c r="I223" i="8"/>
  <c r="J223" i="8"/>
  <c r="I224" i="8"/>
  <c r="J224" i="8"/>
  <c r="I225" i="8"/>
  <c r="J225" i="8"/>
  <c r="I226" i="8"/>
  <c r="J226" i="8"/>
  <c r="I227" i="8"/>
  <c r="J227" i="8"/>
  <c r="I228" i="8"/>
  <c r="J228" i="8"/>
  <c r="I229" i="8"/>
  <c r="J229" i="8"/>
  <c r="I220" i="8" l="1"/>
  <c r="J220" i="8"/>
  <c r="I81" i="8" l="1"/>
  <c r="I3" i="8" l="1"/>
  <c r="J3" i="8"/>
  <c r="I4" i="8"/>
  <c r="J4" i="8"/>
  <c r="I5" i="8"/>
  <c r="J5" i="8"/>
  <c r="I6" i="8"/>
  <c r="J6" i="8"/>
  <c r="I7" i="8"/>
  <c r="J7" i="8"/>
  <c r="I8" i="8"/>
  <c r="J8" i="8"/>
  <c r="I9" i="8"/>
  <c r="J9" i="8"/>
  <c r="I10" i="8"/>
  <c r="J10" i="8"/>
  <c r="I11" i="8"/>
  <c r="J11" i="8"/>
  <c r="I12" i="8"/>
  <c r="J12" i="8"/>
  <c r="I13" i="8"/>
  <c r="J13" i="8"/>
  <c r="I14" i="8"/>
  <c r="J14" i="8"/>
  <c r="I15" i="8"/>
  <c r="J15" i="8"/>
  <c r="I16" i="8"/>
  <c r="J16" i="8"/>
  <c r="I17" i="8"/>
  <c r="J17" i="8"/>
  <c r="I18" i="8"/>
  <c r="J18" i="8"/>
  <c r="I19" i="8"/>
  <c r="J19" i="8"/>
  <c r="I20" i="8"/>
  <c r="J20" i="8"/>
  <c r="I21" i="8"/>
  <c r="J21" i="8"/>
  <c r="I22" i="8"/>
  <c r="J22" i="8"/>
  <c r="I23" i="8"/>
  <c r="J23" i="8"/>
  <c r="I24" i="8"/>
  <c r="J24" i="8"/>
  <c r="I25" i="8"/>
  <c r="J25" i="8"/>
  <c r="I26" i="8"/>
  <c r="J26" i="8"/>
  <c r="I27" i="8"/>
  <c r="J27" i="8"/>
  <c r="I28" i="8"/>
  <c r="J28" i="8"/>
  <c r="I29" i="8"/>
  <c r="J29" i="8"/>
  <c r="I30" i="8"/>
  <c r="J30" i="8"/>
  <c r="I31" i="8"/>
  <c r="J31" i="8"/>
  <c r="I32" i="8"/>
  <c r="J32" i="8"/>
  <c r="I33" i="8"/>
  <c r="J33" i="8"/>
  <c r="I34" i="8"/>
  <c r="J34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I43" i="8"/>
  <c r="J43" i="8"/>
  <c r="I44" i="8"/>
  <c r="J44" i="8"/>
  <c r="I45" i="8"/>
  <c r="J45" i="8"/>
  <c r="I46" i="8"/>
  <c r="J46" i="8"/>
  <c r="I47" i="8"/>
  <c r="J47" i="8"/>
  <c r="I48" i="8"/>
  <c r="J48" i="8"/>
  <c r="I49" i="8"/>
  <c r="J49" i="8"/>
  <c r="I50" i="8"/>
  <c r="J50" i="8"/>
  <c r="I51" i="8"/>
  <c r="J51" i="8"/>
  <c r="I52" i="8"/>
  <c r="J52" i="8"/>
  <c r="I53" i="8"/>
  <c r="J53" i="8"/>
  <c r="I54" i="8"/>
  <c r="J54" i="8"/>
  <c r="I55" i="8"/>
  <c r="J55" i="8"/>
  <c r="I56" i="8"/>
  <c r="J56" i="8"/>
  <c r="I57" i="8"/>
  <c r="J57" i="8"/>
  <c r="I58" i="8"/>
  <c r="J58" i="8"/>
  <c r="I59" i="8"/>
  <c r="J59" i="8"/>
  <c r="I60" i="8"/>
  <c r="J60" i="8"/>
  <c r="I61" i="8"/>
  <c r="J61" i="8"/>
  <c r="I62" i="8"/>
  <c r="J62" i="8"/>
  <c r="I63" i="8"/>
  <c r="J63" i="8"/>
  <c r="I64" i="8"/>
  <c r="J64" i="8"/>
  <c r="I65" i="8"/>
  <c r="J65" i="8"/>
  <c r="I66" i="8"/>
  <c r="J66" i="8"/>
  <c r="I67" i="8"/>
  <c r="J67" i="8"/>
  <c r="I68" i="8"/>
  <c r="J68" i="8"/>
  <c r="I69" i="8"/>
  <c r="J69" i="8"/>
  <c r="I70" i="8"/>
  <c r="J70" i="8"/>
  <c r="I71" i="8"/>
  <c r="J71" i="8"/>
  <c r="I72" i="8"/>
  <c r="J72" i="8"/>
  <c r="I73" i="8"/>
  <c r="J73" i="8"/>
  <c r="I74" i="8"/>
  <c r="J74" i="8"/>
  <c r="I75" i="8"/>
  <c r="J75" i="8"/>
  <c r="I76" i="8"/>
  <c r="J76" i="8"/>
  <c r="I77" i="8"/>
  <c r="J77" i="8"/>
  <c r="I78" i="8"/>
  <c r="J78" i="8"/>
  <c r="I79" i="8"/>
  <c r="J79" i="8"/>
  <c r="I80" i="8"/>
  <c r="J80" i="8"/>
  <c r="J81" i="8"/>
  <c r="I82" i="8"/>
  <c r="J82" i="8"/>
  <c r="I83" i="8"/>
  <c r="J83" i="8"/>
  <c r="I84" i="8"/>
  <c r="J84" i="8"/>
  <c r="I85" i="8"/>
  <c r="J85" i="8"/>
  <c r="I86" i="8"/>
  <c r="J86" i="8"/>
  <c r="I87" i="8"/>
  <c r="J87" i="8"/>
  <c r="I88" i="8"/>
  <c r="J88" i="8"/>
  <c r="I89" i="8"/>
  <c r="J89" i="8"/>
  <c r="I90" i="8"/>
  <c r="J90" i="8"/>
  <c r="I91" i="8"/>
  <c r="J91" i="8"/>
  <c r="I92" i="8"/>
  <c r="J92" i="8"/>
  <c r="I93" i="8"/>
  <c r="J93" i="8"/>
  <c r="I94" i="8"/>
  <c r="J94" i="8"/>
  <c r="I95" i="8"/>
  <c r="J95" i="8"/>
  <c r="I96" i="8"/>
  <c r="J96" i="8"/>
  <c r="I97" i="8"/>
  <c r="J97" i="8"/>
  <c r="I98" i="8"/>
  <c r="J98" i="8"/>
  <c r="I99" i="8"/>
  <c r="J99" i="8"/>
  <c r="I100" i="8"/>
  <c r="J100" i="8"/>
  <c r="I101" i="8"/>
  <c r="J101" i="8"/>
  <c r="I102" i="8"/>
  <c r="J102" i="8"/>
  <c r="I103" i="8"/>
  <c r="J103" i="8"/>
  <c r="I104" i="8"/>
  <c r="J104" i="8"/>
  <c r="I105" i="8"/>
  <c r="J105" i="8"/>
  <c r="I106" i="8"/>
  <c r="J106" i="8"/>
  <c r="I107" i="8"/>
  <c r="J107" i="8"/>
  <c r="I108" i="8"/>
  <c r="J108" i="8"/>
  <c r="I109" i="8"/>
  <c r="J109" i="8"/>
  <c r="I110" i="8"/>
  <c r="J110" i="8"/>
  <c r="I111" i="8"/>
  <c r="J111" i="8"/>
  <c r="I112" i="8"/>
  <c r="J112" i="8"/>
  <c r="I113" i="8"/>
  <c r="J113" i="8"/>
  <c r="I114" i="8"/>
  <c r="J114" i="8"/>
  <c r="I115" i="8"/>
  <c r="J115" i="8"/>
  <c r="I116" i="8"/>
  <c r="J116" i="8"/>
  <c r="I117" i="8"/>
  <c r="J117" i="8"/>
  <c r="I118" i="8"/>
  <c r="J118" i="8"/>
  <c r="I119" i="8"/>
  <c r="J119" i="8"/>
  <c r="I120" i="8"/>
  <c r="J120" i="8"/>
  <c r="I121" i="8"/>
  <c r="J121" i="8"/>
  <c r="I122" i="8"/>
  <c r="J122" i="8"/>
  <c r="I123" i="8"/>
  <c r="J123" i="8"/>
  <c r="I124" i="8"/>
  <c r="J124" i="8"/>
  <c r="I125" i="8"/>
  <c r="J125" i="8"/>
  <c r="I126" i="8"/>
  <c r="J126" i="8"/>
  <c r="I127" i="8"/>
  <c r="J127" i="8"/>
  <c r="I128" i="8"/>
  <c r="J128" i="8"/>
  <c r="I129" i="8"/>
  <c r="J129" i="8"/>
  <c r="I130" i="8"/>
  <c r="J130" i="8"/>
  <c r="I131" i="8"/>
  <c r="J131" i="8"/>
  <c r="I132" i="8"/>
  <c r="J132" i="8"/>
  <c r="I133" i="8"/>
  <c r="J133" i="8"/>
  <c r="I134" i="8"/>
  <c r="J134" i="8"/>
  <c r="I135" i="8"/>
  <c r="J135" i="8"/>
  <c r="I136" i="8"/>
  <c r="J136" i="8"/>
  <c r="I137" i="8"/>
  <c r="J137" i="8"/>
  <c r="I138" i="8"/>
  <c r="J138" i="8"/>
  <c r="I139" i="8"/>
  <c r="J139" i="8"/>
  <c r="I140" i="8"/>
  <c r="J140" i="8"/>
  <c r="I141" i="8"/>
  <c r="J141" i="8"/>
  <c r="I142" i="8"/>
  <c r="J142" i="8"/>
  <c r="I143" i="8"/>
  <c r="J143" i="8"/>
  <c r="I144" i="8"/>
  <c r="J144" i="8"/>
  <c r="I145" i="8"/>
  <c r="J145" i="8"/>
  <c r="I146" i="8"/>
  <c r="J146" i="8"/>
  <c r="I147" i="8"/>
  <c r="J147" i="8"/>
  <c r="I148" i="8"/>
  <c r="J148" i="8"/>
  <c r="I149" i="8"/>
  <c r="J149" i="8"/>
  <c r="I150" i="8"/>
  <c r="J150" i="8"/>
  <c r="I151" i="8"/>
  <c r="J151" i="8"/>
  <c r="I152" i="8"/>
  <c r="J152" i="8"/>
  <c r="I153" i="8"/>
  <c r="J153" i="8"/>
  <c r="I154" i="8"/>
  <c r="J154" i="8"/>
  <c r="I155" i="8"/>
  <c r="J155" i="8"/>
  <c r="I156" i="8"/>
  <c r="J156" i="8"/>
  <c r="I157" i="8"/>
  <c r="J157" i="8"/>
  <c r="I158" i="8"/>
  <c r="J158" i="8"/>
  <c r="I159" i="8"/>
  <c r="J159" i="8"/>
  <c r="I160" i="8"/>
  <c r="J160" i="8"/>
  <c r="I161" i="8"/>
  <c r="J161" i="8"/>
  <c r="I162" i="8"/>
  <c r="J162" i="8"/>
  <c r="I163" i="8"/>
  <c r="J163" i="8"/>
  <c r="I164" i="8"/>
  <c r="J164" i="8"/>
  <c r="I165" i="8"/>
  <c r="J165" i="8"/>
  <c r="I166" i="8"/>
  <c r="J166" i="8"/>
  <c r="I167" i="8"/>
  <c r="J167" i="8"/>
  <c r="I168" i="8"/>
  <c r="J168" i="8"/>
  <c r="I169" i="8"/>
  <c r="J169" i="8"/>
  <c r="I170" i="8"/>
  <c r="J170" i="8"/>
  <c r="I171" i="8"/>
  <c r="J171" i="8"/>
  <c r="I172" i="8"/>
  <c r="J172" i="8"/>
  <c r="I173" i="8"/>
  <c r="J173" i="8"/>
  <c r="I174" i="8"/>
  <c r="J174" i="8"/>
  <c r="I175" i="8"/>
  <c r="J175" i="8"/>
  <c r="I176" i="8"/>
  <c r="J176" i="8"/>
  <c r="I177" i="8"/>
  <c r="J177" i="8"/>
  <c r="I178" i="8"/>
  <c r="J178" i="8"/>
  <c r="I179" i="8"/>
  <c r="J179" i="8"/>
  <c r="I180" i="8"/>
  <c r="J180" i="8"/>
  <c r="I181" i="8"/>
  <c r="J181" i="8"/>
  <c r="I182" i="8"/>
  <c r="J182" i="8"/>
  <c r="I183" i="8"/>
  <c r="J183" i="8"/>
  <c r="I184" i="8"/>
  <c r="J184" i="8"/>
  <c r="I185" i="8"/>
  <c r="J185" i="8"/>
  <c r="I186" i="8"/>
  <c r="J186" i="8"/>
  <c r="I187" i="8"/>
  <c r="J187" i="8"/>
  <c r="I188" i="8"/>
  <c r="J188" i="8"/>
  <c r="I189" i="8"/>
  <c r="J189" i="8"/>
  <c r="I190" i="8"/>
  <c r="J190" i="8"/>
  <c r="I191" i="8"/>
  <c r="J191" i="8"/>
  <c r="I192" i="8"/>
  <c r="J192" i="8"/>
  <c r="I193" i="8"/>
  <c r="J193" i="8"/>
  <c r="I194" i="8"/>
  <c r="J194" i="8"/>
  <c r="I195" i="8"/>
  <c r="J195" i="8"/>
  <c r="I196" i="8"/>
  <c r="J196" i="8"/>
  <c r="I197" i="8"/>
  <c r="J197" i="8"/>
  <c r="I198" i="8"/>
  <c r="J198" i="8"/>
  <c r="I199" i="8"/>
  <c r="J199" i="8"/>
  <c r="I200" i="8"/>
  <c r="J200" i="8"/>
  <c r="I201" i="8"/>
  <c r="J201" i="8"/>
  <c r="I202" i="8"/>
  <c r="J202" i="8"/>
  <c r="I203" i="8"/>
  <c r="J203" i="8"/>
  <c r="I204" i="8"/>
  <c r="J204" i="8"/>
  <c r="I205" i="8"/>
  <c r="J205" i="8"/>
  <c r="I206" i="8"/>
  <c r="J206" i="8"/>
  <c r="I207" i="8"/>
  <c r="J207" i="8"/>
  <c r="I208" i="8"/>
  <c r="J208" i="8"/>
  <c r="I209" i="8"/>
  <c r="J209" i="8"/>
  <c r="I210" i="8"/>
  <c r="J210" i="8"/>
  <c r="I211" i="8"/>
  <c r="J211" i="8"/>
  <c r="I212" i="8"/>
  <c r="J212" i="8"/>
  <c r="I213" i="8"/>
  <c r="J213" i="8"/>
  <c r="I214" i="8"/>
  <c r="J214" i="8"/>
  <c r="I215" i="8"/>
  <c r="J215" i="8"/>
  <c r="I216" i="8"/>
  <c r="J216" i="8"/>
  <c r="I217" i="8"/>
  <c r="J217" i="8"/>
  <c r="I218" i="8"/>
  <c r="J218" i="8"/>
  <c r="I219" i="8"/>
  <c r="J219" i="8"/>
  <c r="C5" i="10" l="1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4" i="10"/>
  <c r="C726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4" i="10" l="1"/>
  <c r="I2" i="8" l="1"/>
  <c r="J2" i="8"/>
</calcChain>
</file>

<file path=xl/sharedStrings.xml><?xml version="1.0" encoding="utf-8"?>
<sst xmlns="http://schemas.openxmlformats.org/spreadsheetml/2006/main" count="8041" uniqueCount="1758">
  <si>
    <t>Variable</t>
  </si>
  <si>
    <t>Type</t>
  </si>
  <si>
    <t>Couleur</t>
  </si>
  <si>
    <t>P13_POP</t>
  </si>
  <si>
    <t>Abs</t>
  </si>
  <si>
    <t>Clair_Fonce</t>
  </si>
  <si>
    <t>Population</t>
  </si>
  <si>
    <t>P13_LOG</t>
  </si>
  <si>
    <t>Nombre de logements</t>
  </si>
  <si>
    <t>Logement</t>
  </si>
  <si>
    <t>Boulangerie</t>
  </si>
  <si>
    <t>Cinema</t>
  </si>
  <si>
    <t>College</t>
  </si>
  <si>
    <t>Ecole_elementaire</t>
  </si>
  <si>
    <t>Ecole_maternelle</t>
  </si>
  <si>
    <t>Medecin_omnipraticien</t>
  </si>
  <si>
    <t>Pharmacie</t>
  </si>
  <si>
    <t>Part des moins de 25 ans</t>
  </si>
  <si>
    <t>Pct</t>
  </si>
  <si>
    <t>croissance_demo_0613</t>
  </si>
  <si>
    <t>Croissance démographique (2006-2013)</t>
  </si>
  <si>
    <t>Rouge_Vert</t>
  </si>
  <si>
    <t>croissance_demo_1213</t>
  </si>
  <si>
    <t>Croissance démographique (2012-2013)</t>
  </si>
  <si>
    <t>P13_RP_part</t>
  </si>
  <si>
    <t>Part des résidences principales</t>
  </si>
  <si>
    <t>Part des résidences secondaires</t>
  </si>
  <si>
    <t>Part des logements vacants</t>
  </si>
  <si>
    <t>Part des logements HLM</t>
  </si>
  <si>
    <t>Part des résidences principales occupées par des propriétaires</t>
  </si>
  <si>
    <t>taux_cho_13_1564</t>
  </si>
  <si>
    <t>Taux de chômage en 2013</t>
  </si>
  <si>
    <t>taux_cho_13_1524</t>
  </si>
  <si>
    <t>evo_taux_cho_1213_1564</t>
  </si>
  <si>
    <t>Evolution du taux de chômage (2012-2013)</t>
  </si>
  <si>
    <t>Vert_Rouge</t>
  </si>
  <si>
    <t>evo_taux_cho_1213_1524</t>
  </si>
  <si>
    <t>Evolution du taux de chômage des jeunes (2012-2013)</t>
  </si>
  <si>
    <t>evo_taux_cho_0613_1564</t>
  </si>
  <si>
    <t>Evolution du taux de chômage (2006-2013)</t>
  </si>
  <si>
    <t>evo_taux_cho_0613_1524</t>
  </si>
  <si>
    <t>Evolution du taux de chômage des jeunes (2006-2013)</t>
  </si>
  <si>
    <t>Prix_m2_appartement_moyen</t>
  </si>
  <si>
    <t>Prix_m2_maison_moyen</t>
  </si>
  <si>
    <t>Toutes_technologies_eligibles</t>
  </si>
  <si>
    <t>Toutes_technologies_3_Mbits</t>
  </si>
  <si>
    <t>Toutes_technologies_8_Mbits</t>
  </si>
  <si>
    <t>Toutes_technologies_30_Mbits</t>
  </si>
  <si>
    <t>Toutes_technologies_100_Mbits</t>
  </si>
  <si>
    <t>Fibre_eligibles</t>
  </si>
  <si>
    <t>Couv_4G_Bouygues_Telecom</t>
  </si>
  <si>
    <t>Couverture réseau 4G Bouygues Telecom</t>
  </si>
  <si>
    <t>Couv_4G_Free_Mobile</t>
  </si>
  <si>
    <t>Couverture réseau 4G Free Mobile</t>
  </si>
  <si>
    <t>Couv_4G_Orange</t>
  </si>
  <si>
    <t>Couverture réseau 4G Orange</t>
  </si>
  <si>
    <t>Couv_4G_SFR</t>
  </si>
  <si>
    <t>Couverture réseau 4G SFR</t>
  </si>
  <si>
    <t>Feu_de_foret</t>
  </si>
  <si>
    <t>Feu de forêt</t>
  </si>
  <si>
    <t>Inondation</t>
  </si>
  <si>
    <t>Mouvement_de_terrain</t>
  </si>
  <si>
    <t>Nucleaire</t>
  </si>
  <si>
    <t>Risque_industriel</t>
  </si>
  <si>
    <t>Risque industriel</t>
  </si>
  <si>
    <t>Rupture_de_barrage</t>
  </si>
  <si>
    <t>Rupture de barrage</t>
  </si>
  <si>
    <t>Transport_de_marchandises_dangereuses</t>
  </si>
  <si>
    <t>Transport de marchandises dangereuses</t>
  </si>
  <si>
    <t>Zone_de_sismicite</t>
  </si>
  <si>
    <t>Zone de sismicité</t>
  </si>
  <si>
    <t>prixm2_boncoin</t>
  </si>
  <si>
    <t>prixm2_logicimmo</t>
  </si>
  <si>
    <t>Cata_Nat_Effondrement_de_terrain</t>
  </si>
  <si>
    <t>Cata_Nat_Glissement_de_terrain</t>
  </si>
  <si>
    <t>Catastrophe_recente</t>
  </si>
  <si>
    <t>Nb_jours_depuis_catastrophe</t>
  </si>
  <si>
    <t>Nb_annees_depuis_catastrophe</t>
  </si>
  <si>
    <t>Nombre de jours depuis la dernière catastrophe naturelle</t>
  </si>
  <si>
    <t>Dernière catastrophe naturelle en date</t>
  </si>
  <si>
    <t>C13_ACT1564_CS1_part</t>
  </si>
  <si>
    <t>C13_ACT1564_CS2_part</t>
  </si>
  <si>
    <t>C13_ACT1564_CS3_part</t>
  </si>
  <si>
    <t>C13_ACT1564_CS4_part</t>
  </si>
  <si>
    <t>C13_ACT1564_CS5_part</t>
  </si>
  <si>
    <t>C13_ACT1564_CS6_part</t>
  </si>
  <si>
    <t>Part des agriculteurs exploitants actifs de 15 à 64 ans</t>
  </si>
  <si>
    <t>Part des  cadres et professions intellectuelles supérieures actifs de 15 à 64 ans</t>
  </si>
  <si>
    <t>Part des  professions intermédiaires actifs de 15 à 64 ans</t>
  </si>
  <si>
    <t>Part des employés actifs de 15 à 64 ans</t>
  </si>
  <si>
    <t>Part des ouvriers actifs de 15 à 64 ans</t>
  </si>
  <si>
    <t>Prix du mètre carré (Site 2)</t>
  </si>
  <si>
    <t>Prix du mètre carré (Site 3)</t>
  </si>
  <si>
    <t>Nombre de catastrophes naturelles : Effondrement de terrain</t>
  </si>
  <si>
    <t>Nombre de catastrophes naturelles : Glissement de terrain</t>
  </si>
  <si>
    <t>Nombre de catastrophes naturelles : Inondations et coulées de boue</t>
  </si>
  <si>
    <t>Factor</t>
  </si>
  <si>
    <t>IRIS</t>
  </si>
  <si>
    <t>P13_POP1564</t>
  </si>
  <si>
    <t>P13_POP5564</t>
  </si>
  <si>
    <t>P13_H1564</t>
  </si>
  <si>
    <t>P13_H1524</t>
  </si>
  <si>
    <t>P13_H2554</t>
  </si>
  <si>
    <t>P13_H5564</t>
  </si>
  <si>
    <t>P13_F1564</t>
  </si>
  <si>
    <t>P13_F1524</t>
  </si>
  <si>
    <t>P13_F2554</t>
  </si>
  <si>
    <t>P13_F5564</t>
  </si>
  <si>
    <t>P13_ACT1564</t>
  </si>
  <si>
    <t>P13_ACT1524</t>
  </si>
  <si>
    <t>P13_ACT2554</t>
  </si>
  <si>
    <t>P13_ACT5564</t>
  </si>
  <si>
    <t>P13_HACT1564</t>
  </si>
  <si>
    <t>P13_HACT1524</t>
  </si>
  <si>
    <t>P13_HACT2554</t>
  </si>
  <si>
    <t>P13_HACT5564</t>
  </si>
  <si>
    <t>P13_FACT1564</t>
  </si>
  <si>
    <t>P13_FACT1524</t>
  </si>
  <si>
    <t>P13_FACT2554</t>
  </si>
  <si>
    <t>P13_FACT5564</t>
  </si>
  <si>
    <t>P13_ACTOCC1564</t>
  </si>
  <si>
    <t>P13_ACTOCC2554</t>
  </si>
  <si>
    <t>P13_ACTOCC5564</t>
  </si>
  <si>
    <t>P13_HACTOCC1564</t>
  </si>
  <si>
    <t>P13_HACTOCC1524</t>
  </si>
  <si>
    <t>P13_HACTOCC2554</t>
  </si>
  <si>
    <t>P13_HACTOCC5564</t>
  </si>
  <si>
    <t>P13_FACTOCC1564</t>
  </si>
  <si>
    <t>P13_FACTOCC1524</t>
  </si>
  <si>
    <t>P13_FACTOCC2554</t>
  </si>
  <si>
    <t>P13_FACTOCC5564</t>
  </si>
  <si>
    <t>P13_CHOM2554</t>
  </si>
  <si>
    <t>P13_CHOM5564</t>
  </si>
  <si>
    <t>P13_HCHOM1564</t>
  </si>
  <si>
    <t>P13_FCHOM1564</t>
  </si>
  <si>
    <t>P13_INACT1564</t>
  </si>
  <si>
    <t>P13_HINACT1564</t>
  </si>
  <si>
    <t>P13_FINACT1564</t>
  </si>
  <si>
    <t>P13_HETUD1564</t>
  </si>
  <si>
    <t>P13_FETUD1564</t>
  </si>
  <si>
    <t>P13_HRETR1564</t>
  </si>
  <si>
    <t>P13_FRETR1564</t>
  </si>
  <si>
    <t>P13_AINACT1564</t>
  </si>
  <si>
    <t>P13_HAINACT1564</t>
  </si>
  <si>
    <t>P13_FAINACT1564</t>
  </si>
  <si>
    <t>C13_ACTOCC1564</t>
  </si>
  <si>
    <t>C13_ACTOCC1564_CS1</t>
  </si>
  <si>
    <t>C13_ACTOCC1564_CS2</t>
  </si>
  <si>
    <t>C13_ACTOCC1564_CS3</t>
  </si>
  <si>
    <t>C13_ACTOCC1564_CS4</t>
  </si>
  <si>
    <t>C13_ACTOCC1564_CS5</t>
  </si>
  <si>
    <t>C13_ACTOCC1564_CS6</t>
  </si>
  <si>
    <t>P13_ACTOCC15P</t>
  </si>
  <si>
    <t>P13_HACTOCC15P</t>
  </si>
  <si>
    <t>P13_FACTOCC15P</t>
  </si>
  <si>
    <t>P13_SAL15P</t>
  </si>
  <si>
    <t>P13_HSAL15P</t>
  </si>
  <si>
    <t>P13_FSAL15P</t>
  </si>
  <si>
    <t>P13_NSAL15P</t>
  </si>
  <si>
    <t>P13_HNSAL15P</t>
  </si>
  <si>
    <t>P13_FNSAL15P</t>
  </si>
  <si>
    <t>P13_ACTOCC15P_TP</t>
  </si>
  <si>
    <t>P13_SAL15P_TP</t>
  </si>
  <si>
    <t>P13_HSAL15P_TP</t>
  </si>
  <si>
    <t>P13_FSAL15P_TP</t>
  </si>
  <si>
    <t>P13_NSAL15P_TP</t>
  </si>
  <si>
    <t>P13_SAL15P_CDI</t>
  </si>
  <si>
    <t>P13_SAL15P_CDD</t>
  </si>
  <si>
    <t>P13_SAL15P_INTERIM</t>
  </si>
  <si>
    <t>P13_SAL15P_EMPAID</t>
  </si>
  <si>
    <t>P13_SAL15P_APPR</t>
  </si>
  <si>
    <t>P13_NSAL15P_INDEP</t>
  </si>
  <si>
    <t>P13_NSAL15P_EMPLOY</t>
  </si>
  <si>
    <t>P13_NSAL15P_AIDFAM</t>
  </si>
  <si>
    <t>P13_ACTOCC15P_ILT1</t>
  </si>
  <si>
    <t>P13_ACTOCC15P_ILT2P</t>
  </si>
  <si>
    <t>P13_ACTOCC15P_ILT2</t>
  </si>
  <si>
    <t>P13_ACTOCC15P_ILT3</t>
  </si>
  <si>
    <t>P13_ACTOCC15P_ILT4</t>
  </si>
  <si>
    <t>P13_ACTOCC15P_ILT5</t>
  </si>
  <si>
    <t>C13_ACTOCC15P</t>
  </si>
  <si>
    <t>C13_ACTOCC15P_PAS</t>
  </si>
  <si>
    <t>C13_ACTOCC15P_MAR</t>
  </si>
  <si>
    <t>C13_ACTOCC15P_DROU</t>
  </si>
  <si>
    <t>C13_ACTOCC15P_VOIT</t>
  </si>
  <si>
    <t>C13_ACTOCC15P_TCOM</t>
  </si>
  <si>
    <t>C13_MEN</t>
  </si>
  <si>
    <t>C13_MENPSEUL</t>
  </si>
  <si>
    <t>C13_MENHSEUL</t>
  </si>
  <si>
    <t>C13_MENFSEUL</t>
  </si>
  <si>
    <t>C13_MENSFAM</t>
  </si>
  <si>
    <t>C13_MENFAM</t>
  </si>
  <si>
    <t>C13_MENCOUPSENF</t>
  </si>
  <si>
    <t>C13_MENCOUPAENF</t>
  </si>
  <si>
    <t>C13_MENFAMMONO</t>
  </si>
  <si>
    <t>C13_PMEN</t>
  </si>
  <si>
    <t>C13_PMEN_MENPSEUL</t>
  </si>
  <si>
    <t>C13_PMEN_MENHSEUL</t>
  </si>
  <si>
    <t>C13_PMEN_MENFSEUL</t>
  </si>
  <si>
    <t>C13_PMEN_MENSFAM</t>
  </si>
  <si>
    <t>C13_PMEN_MENFAM</t>
  </si>
  <si>
    <t>C13_PMEN_MENCOUPSENF</t>
  </si>
  <si>
    <t>C13_PMEN_MENCOUPAENF</t>
  </si>
  <si>
    <t>C13_PMEN_MENFAMMONO</t>
  </si>
  <si>
    <t>P13_POP15P</t>
  </si>
  <si>
    <t>P13_POP80P</t>
  </si>
  <si>
    <t>P13_POPMEN15P</t>
  </si>
  <si>
    <t>P13_POPMEN1524</t>
  </si>
  <si>
    <t>P13_POPMEN2554</t>
  </si>
  <si>
    <t>P13_POPMEN5579</t>
  </si>
  <si>
    <t>P13_POPMEN80P</t>
  </si>
  <si>
    <t>P13_POP15P_PSEUL</t>
  </si>
  <si>
    <t>P13_POP1524_PSEUL</t>
  </si>
  <si>
    <t>P13_POP2554_PSEUL</t>
  </si>
  <si>
    <t>P13_POP5579_PSEUL</t>
  </si>
  <si>
    <t>P13_POP80P_PSEUL</t>
  </si>
  <si>
    <t>P13_POP15P_MARIEE</t>
  </si>
  <si>
    <t>P13_POP15P_NONMARIEE</t>
  </si>
  <si>
    <t>C13_MEN_CS1</t>
  </si>
  <si>
    <t>C13_MEN_CS2</t>
  </si>
  <si>
    <t>C13_MEN_CS3</t>
  </si>
  <si>
    <t>C13_MEN_CS4</t>
  </si>
  <si>
    <t>C13_MEN_CS5</t>
  </si>
  <si>
    <t>C13_MEN_CS6</t>
  </si>
  <si>
    <t>C13_MEN_CS7</t>
  </si>
  <si>
    <t>C13_MEN_CS8</t>
  </si>
  <si>
    <t>C13_PMEN_CS1</t>
  </si>
  <si>
    <t>C13_PMEN_CS2</t>
  </si>
  <si>
    <t>C13_PMEN_CS3</t>
  </si>
  <si>
    <t>C13_PMEN_CS4</t>
  </si>
  <si>
    <t>C13_PMEN_CS5</t>
  </si>
  <si>
    <t>C13_PMEN_CS6</t>
  </si>
  <si>
    <t>C13_PMEN_CS7</t>
  </si>
  <si>
    <t>C13_PMEN_CS8</t>
  </si>
  <si>
    <t>C13_FAM</t>
  </si>
  <si>
    <t>C13_COUPAENF</t>
  </si>
  <si>
    <t>C13_FAMMONO</t>
  </si>
  <si>
    <t>C13_COUPSENF</t>
  </si>
  <si>
    <t>C13_NE24F0</t>
  </si>
  <si>
    <t>C13_NE24F1</t>
  </si>
  <si>
    <t>C13_NE24F2</t>
  </si>
  <si>
    <t>C13_NE24F3</t>
  </si>
  <si>
    <t>C13_NE24F4P</t>
  </si>
  <si>
    <t>P13_POP0205</t>
  </si>
  <si>
    <t>P13_POP0610</t>
  </si>
  <si>
    <t>P13_POP1114</t>
  </si>
  <si>
    <t>P13_POP1517</t>
  </si>
  <si>
    <t>P13_POP1824</t>
  </si>
  <si>
    <t>P13_POP2529</t>
  </si>
  <si>
    <t>P13_POP30P</t>
  </si>
  <si>
    <t>P13_SCOL0205</t>
  </si>
  <si>
    <t>P13_SCOL0610</t>
  </si>
  <si>
    <t>P13_SCOL1114</t>
  </si>
  <si>
    <t>P13_SCOL1517</t>
  </si>
  <si>
    <t>P13_SCOL1824</t>
  </si>
  <si>
    <t>P13_SCOL2529</t>
  </si>
  <si>
    <t>P13_SCOL30P</t>
  </si>
  <si>
    <t>P13_NSCOL15P</t>
  </si>
  <si>
    <t>P13_NSCOL15P_DIPLMIN</t>
  </si>
  <si>
    <t>P13_NSCOL15P_CAPBEP</t>
  </si>
  <si>
    <t>P13_NSCOL15P_BAC</t>
  </si>
  <si>
    <t>P13_NSCOL15P_SUP</t>
  </si>
  <si>
    <t>P13_HNSCOL15P</t>
  </si>
  <si>
    <t>P13_HNSCOL15P_DIPLMIN</t>
  </si>
  <si>
    <t>P13_HNSCOL15P_CAPBEP</t>
  </si>
  <si>
    <t>P13_HNSCOL15P_BAC</t>
  </si>
  <si>
    <t>P13_HNSCOL15P_SUP</t>
  </si>
  <si>
    <t>P13_FNSCOL15P</t>
  </si>
  <si>
    <t>P13_FNSCOL15P_DIPLMIN</t>
  </si>
  <si>
    <t>P13_FNSCOL15P_CAPBEP</t>
  </si>
  <si>
    <t>P13_FNSCOL15P_BAC</t>
  </si>
  <si>
    <t>P13_FNSCOL15P_SUP</t>
  </si>
  <si>
    <t>P13_POP0002</t>
  </si>
  <si>
    <t>P13_POP0305</t>
  </si>
  <si>
    <t>P13_POP1117</t>
  </si>
  <si>
    <t>P13_POP2539</t>
  </si>
  <si>
    <t>P13_POP4054</t>
  </si>
  <si>
    <t>P13_POP6579</t>
  </si>
  <si>
    <t>P13_POP1529</t>
  </si>
  <si>
    <t>P13_POP3044</t>
  </si>
  <si>
    <t>P13_POP4559</t>
  </si>
  <si>
    <t>P13_POP6074</t>
  </si>
  <si>
    <t>P13_POP75P</t>
  </si>
  <si>
    <t>P13_POP0019</t>
  </si>
  <si>
    <t>P13_POP2064</t>
  </si>
  <si>
    <t>P13_POP65P</t>
  </si>
  <si>
    <t>P13_POPH</t>
  </si>
  <si>
    <t>P13_H0014</t>
  </si>
  <si>
    <t>P13_H1529</t>
  </si>
  <si>
    <t>P13_H3044</t>
  </si>
  <si>
    <t>P13_H4559</t>
  </si>
  <si>
    <t>P13_H6074</t>
  </si>
  <si>
    <t>P13_H75P</t>
  </si>
  <si>
    <t>P13_H0019</t>
  </si>
  <si>
    <t>P13_H2064</t>
  </si>
  <si>
    <t>P13_H65P</t>
  </si>
  <si>
    <t>P13_POPF</t>
  </si>
  <si>
    <t>P13_F0014</t>
  </si>
  <si>
    <t>P13_F1529</t>
  </si>
  <si>
    <t>P13_F3044</t>
  </si>
  <si>
    <t>P13_F4559</t>
  </si>
  <si>
    <t>P13_F6074</t>
  </si>
  <si>
    <t>P13_F75P</t>
  </si>
  <si>
    <t>P13_F0019</t>
  </si>
  <si>
    <t>P13_F2064</t>
  </si>
  <si>
    <t>P13_F65P</t>
  </si>
  <si>
    <t>C13_POP15P</t>
  </si>
  <si>
    <t>C13_POP15P_CS1</t>
  </si>
  <si>
    <t>C13_POP15P_CS2</t>
  </si>
  <si>
    <t>C13_POP15P_CS3</t>
  </si>
  <si>
    <t>C13_POP15P_CS4</t>
  </si>
  <si>
    <t>C13_POP15P_CS5</t>
  </si>
  <si>
    <t>C13_POP15P_CS6</t>
  </si>
  <si>
    <t>C13_POP15P_CS7</t>
  </si>
  <si>
    <t>C13_POP15P_CS8</t>
  </si>
  <si>
    <t>C13_H15P</t>
  </si>
  <si>
    <t>C13_H15P_CS1</t>
  </si>
  <si>
    <t>C13_H15P_CS2</t>
  </si>
  <si>
    <t>C13_H15P_CS3</t>
  </si>
  <si>
    <t>C13_H15P_CS4</t>
  </si>
  <si>
    <t>C13_H15P_CS5</t>
  </si>
  <si>
    <t>C13_H15P_CS6</t>
  </si>
  <si>
    <t>C13_H15P_CS7</t>
  </si>
  <si>
    <t>C13_H15P_CS8</t>
  </si>
  <si>
    <t>C13_F15P</t>
  </si>
  <si>
    <t>C13_F15P_CS1</t>
  </si>
  <si>
    <t>C13_F15P_CS2</t>
  </si>
  <si>
    <t>C13_F15P_CS3</t>
  </si>
  <si>
    <t>C13_F15P_CS4</t>
  </si>
  <si>
    <t>C13_F15P_CS5</t>
  </si>
  <si>
    <t>C13_F15P_CS6</t>
  </si>
  <si>
    <t>C13_F15P_CS7</t>
  </si>
  <si>
    <t>C13_F15P_CS8</t>
  </si>
  <si>
    <t>P13_POP_FR</t>
  </si>
  <si>
    <t>P13_POP_ETR</t>
  </si>
  <si>
    <t>P13_POP_IMM</t>
  </si>
  <si>
    <t>P13_PMEN</t>
  </si>
  <si>
    <t>P13_PHORMEN</t>
  </si>
  <si>
    <t>P13_MAISON</t>
  </si>
  <si>
    <t>P13_APPART</t>
  </si>
  <si>
    <t>P13_RP_1P</t>
  </si>
  <si>
    <t>P13_RP_2P</t>
  </si>
  <si>
    <t>P13_RP_3P</t>
  </si>
  <si>
    <t>P13_RP_4P</t>
  </si>
  <si>
    <t>P13_RP_5PP</t>
  </si>
  <si>
    <t>P13_NBPI_RP</t>
  </si>
  <si>
    <t>P13_RPMAISON</t>
  </si>
  <si>
    <t>P13_NBPI_RPMAISON</t>
  </si>
  <si>
    <t>P13_RPAPPART</t>
  </si>
  <si>
    <t>P13_NBPI_RPAPPART</t>
  </si>
  <si>
    <t>P13_RP_M30M2</t>
  </si>
  <si>
    <t>P13_RP_3040M2</t>
  </si>
  <si>
    <t>P13_RP_4060M2</t>
  </si>
  <si>
    <t>P13_RP_6080M2</t>
  </si>
  <si>
    <t>P13_RP_80100M2</t>
  </si>
  <si>
    <t>P13_RP_100120M2</t>
  </si>
  <si>
    <t>P13_RP_120M2P</t>
  </si>
  <si>
    <t>P13_RP_ACHTOT</t>
  </si>
  <si>
    <t>P13_RP_ACH19</t>
  </si>
  <si>
    <t>P13_RP_ACH45</t>
  </si>
  <si>
    <t>P13_RP_ACH70</t>
  </si>
  <si>
    <t>P13_RP_ACH90</t>
  </si>
  <si>
    <t>P13_RP_ACH05</t>
  </si>
  <si>
    <t>P13_RP_ACH10</t>
  </si>
  <si>
    <t>P13_RPMAISON_ACHTOT</t>
  </si>
  <si>
    <t>P13_RPMAISON_ACH19</t>
  </si>
  <si>
    <t>P13_RPMAISON_ACH45</t>
  </si>
  <si>
    <t>P13_RPMAISON_ACH70</t>
  </si>
  <si>
    <t>P13_RPMAISON_ACH90</t>
  </si>
  <si>
    <t>P13_RPMAISON_ACH05</t>
  </si>
  <si>
    <t>P13_RPMAISON_ACH10</t>
  </si>
  <si>
    <t>P13_RPAPPART_ACHTOT</t>
  </si>
  <si>
    <t>P13_RPAPPART_ACH19</t>
  </si>
  <si>
    <t>P13_RPAPPART_ACH45</t>
  </si>
  <si>
    <t>P13_RPAPPART_ACH70</t>
  </si>
  <si>
    <t>P13_RPAPPART_ACH90</t>
  </si>
  <si>
    <t>P13_RPAPPART_ACH05</t>
  </si>
  <si>
    <t>P13_RPAPPART_ACH10</t>
  </si>
  <si>
    <t>P13_MEN</t>
  </si>
  <si>
    <t>P13_MEN_ANEM0002</t>
  </si>
  <si>
    <t>P13_MEN_ANEM0204</t>
  </si>
  <si>
    <t>P13_MEN_ANEM0509</t>
  </si>
  <si>
    <t>P13_MEN_ANEM10P</t>
  </si>
  <si>
    <t>P13_PMEN_ANEM0002</t>
  </si>
  <si>
    <t>P13_PMEN_ANEM0204</t>
  </si>
  <si>
    <t>P13_PMEN_ANEM0509</t>
  </si>
  <si>
    <t>P13_PMEN_ANEM10P</t>
  </si>
  <si>
    <t>P13_NBPI_RP_ANEM0002</t>
  </si>
  <si>
    <t>P13_NBPI_RP_ANEM0204</t>
  </si>
  <si>
    <t>P13_NBPI_RP_ANEM0509</t>
  </si>
  <si>
    <t>P13_NBPI_RP_ANEM10P</t>
  </si>
  <si>
    <t>P13_RP_LOC</t>
  </si>
  <si>
    <t>P13_RP_GRAT</t>
  </si>
  <si>
    <t>P13_NPER_RP</t>
  </si>
  <si>
    <t>P13_NPER_RP_PROP</t>
  </si>
  <si>
    <t>P13_NPER_RP_LOC</t>
  </si>
  <si>
    <t>P13_NPER_RP_LOCHLMV</t>
  </si>
  <si>
    <t>P13_NPER_RP_GRAT</t>
  </si>
  <si>
    <t>P13_ANEM_RP</t>
  </si>
  <si>
    <t>P13_ANEM_RP_PROP</t>
  </si>
  <si>
    <t>P13_ANEM_RP_LOC</t>
  </si>
  <si>
    <t>P13_ANEM_RP_LOCHLMV</t>
  </si>
  <si>
    <t>P13_ANEM_RP_GRAT</t>
  </si>
  <si>
    <t>P13_RP_SDB</t>
  </si>
  <si>
    <t>P13_RP_CCCOLL</t>
  </si>
  <si>
    <t>P13_RP_CCIND</t>
  </si>
  <si>
    <t>P13_RP_CINDELEC</t>
  </si>
  <si>
    <t>P13_RP_ELEC</t>
  </si>
  <si>
    <t>P13_RP_EAUCH</t>
  </si>
  <si>
    <t>P13_RP_BDWC</t>
  </si>
  <si>
    <t>P13_RP_CHOS</t>
  </si>
  <si>
    <t>P13_RP_CLIM</t>
  </si>
  <si>
    <t>P13_RP_TTEGOU</t>
  </si>
  <si>
    <t>P13_RP_GARL</t>
  </si>
  <si>
    <t>P13_RP_VOIT1P</t>
  </si>
  <si>
    <t>P13_RP_VOIT1</t>
  </si>
  <si>
    <t>P13_RP_VOIT2P</t>
  </si>
  <si>
    <t>P13_RP_HABFOR</t>
  </si>
  <si>
    <t>P13_RP_CASE</t>
  </si>
  <si>
    <t>P13_RP_MIBOIS</t>
  </si>
  <si>
    <t>P13_RP_MIDUR</t>
  </si>
  <si>
    <t>REG</t>
  </si>
  <si>
    <t>DEP</t>
  </si>
  <si>
    <t>COM</t>
  </si>
  <si>
    <t>LIBCOM</t>
  </si>
  <si>
    <t>TRIRIS</t>
  </si>
  <si>
    <t>GRD_QUART</t>
  </si>
  <si>
    <t>LIBIRIS</t>
  </si>
  <si>
    <t>TYP_IRIS</t>
  </si>
  <si>
    <t>MODIF_IRIS</t>
  </si>
  <si>
    <t>Centre_de_sante</t>
  </si>
  <si>
    <t>Chirurgien_dentiste</t>
  </si>
  <si>
    <t>Coiffure</t>
  </si>
  <si>
    <t>Epicerie</t>
  </si>
  <si>
    <t>Gendarmerie</t>
  </si>
  <si>
    <t>Grande_surface_de_bricolage</t>
  </si>
  <si>
    <t>Musee</t>
  </si>
  <si>
    <t>Poissonnerie</t>
  </si>
  <si>
    <t>Police</t>
  </si>
  <si>
    <t>Produits_surgeles</t>
  </si>
  <si>
    <t>Restaurant</t>
  </si>
  <si>
    <t>Superette</t>
  </si>
  <si>
    <t>Delai_de_vente_moyen</t>
  </si>
  <si>
    <t>Evolution_des_prix_depuis_1_an</t>
  </si>
  <si>
    <t>Evolution_des_prix_a_1_an</t>
  </si>
  <si>
    <t>Evolution_des_prix_a_1_mois</t>
  </si>
  <si>
    <t>Evolution_des_prix_a_10_ans</t>
  </si>
  <si>
    <t>Evolution_des_prix_a_2_ans</t>
  </si>
  <si>
    <t>Evolution_des_prix_a_3_mois</t>
  </si>
  <si>
    <t>Evolution_des_prix_a_5_ans</t>
  </si>
  <si>
    <t>Part_des_menages_residents_pouvant_acheter_60_m2</t>
  </si>
  <si>
    <t>Prix_m2_appartement</t>
  </si>
  <si>
    <t>Prix_m2_appartement_max</t>
  </si>
  <si>
    <t>Prix_m2_appartement_min</t>
  </si>
  <si>
    <t>Prix_m2_maison</t>
  </si>
  <si>
    <t>Prix_m2_maison_max</t>
  </si>
  <si>
    <t>Prix_m2_maison_min</t>
  </si>
  <si>
    <t>moyenne_appartement_alentours</t>
  </si>
  <si>
    <t>moyenne_loyer_appartement_alentours</t>
  </si>
  <si>
    <t>moyenne_maison_alentours</t>
  </si>
  <si>
    <t>rapport_loyer_appartement_vs_alentour</t>
  </si>
  <si>
    <t>rapport_prix_m2_appartement_vs_alentour</t>
  </si>
  <si>
    <t>rapport_prix_m2_maison_vs_alentour</t>
  </si>
  <si>
    <t>DSL_eligibles</t>
  </si>
  <si>
    <t>DSL_3_Mbits</t>
  </si>
  <si>
    <t>DSL_8_Mbits</t>
  </si>
  <si>
    <t>DSL_30_Mbits</t>
  </si>
  <si>
    <t>DSL_100_Mbits</t>
  </si>
  <si>
    <t>Cable_eligibles</t>
  </si>
  <si>
    <t>Cable_3_Mbits</t>
  </si>
  <si>
    <t>Cable_8_Mbits</t>
  </si>
  <si>
    <t>Cable_30_Mbits</t>
  </si>
  <si>
    <t>Cable_100_Mbits</t>
  </si>
  <si>
    <t>Fibre_3_Mbits</t>
  </si>
  <si>
    <t>Fibre_8_Mbits</t>
  </si>
  <si>
    <t>Fibre_30_Mbits</t>
  </si>
  <si>
    <t>Fibre_100_Mbits</t>
  </si>
  <si>
    <t>3G_Bouygues_Telecom</t>
  </si>
  <si>
    <t>3G_Free_Mobile</t>
  </si>
  <si>
    <t>3G_Orange</t>
  </si>
  <si>
    <t>3G_SFR</t>
  </si>
  <si>
    <t>2G_Bouygues_Telecom</t>
  </si>
  <si>
    <t>2G_Free_Mobile</t>
  </si>
  <si>
    <t>2G_Orange</t>
  </si>
  <si>
    <t>2G_SFR</t>
  </si>
  <si>
    <t>Nombre de personnes actives de 15 à 64 ans</t>
  </si>
  <si>
    <t>Nombre d'agriculteurs exploitants actifs de 15 à 64 ans</t>
  </si>
  <si>
    <t>Nombre d'artisans, commerçants, chefs d'entreprise actifs de 15 à 64 ans</t>
  </si>
  <si>
    <t>Nombre de professions intermédiaires actifs de 15 à 64 ans</t>
  </si>
  <si>
    <t>Nombre d'employés actifs de 15 à 64 ans</t>
  </si>
  <si>
    <t>Nombre d'ouvriers actifs de 15 à 64 ans</t>
  </si>
  <si>
    <t>Nombre de personnes actives occupées de 15 à 64 ans</t>
  </si>
  <si>
    <t>Nombre d'agriculteurs exploitants actifs occupés de 15 à 64 ans</t>
  </si>
  <si>
    <t>Nombre d'artisans, commerçants, chefs d'entreprise actifs occupés de 15 à 64 ans</t>
  </si>
  <si>
    <t>Nombre de cadres, professions intellectuelles supérieures actifs occupés de 15 à 64 ans</t>
  </si>
  <si>
    <t>Nombre de professions intermédiaires actifs occupés de 15 à 64 ans</t>
  </si>
  <si>
    <t>Nombre d'employés actifs occupés de 15 à 64 ans</t>
  </si>
  <si>
    <t>Nombre d'ouvriers actifs occupés de 15 à 64 ans</t>
  </si>
  <si>
    <t>Nombre d'actifs occupés de 15 ans ou plus</t>
  </si>
  <si>
    <t>Nombre d'actifs occupés de 15 ans ou plus qui utilisent principalement un deux roues pour aller travailler</t>
  </si>
  <si>
    <t>Nombre d'actifs occupés de 15 ans ou plus qui vont travailler principalement à pied</t>
  </si>
  <si>
    <t>Nombre d'actifs occupés de 15 ans ou plus qui n'utilisent pas de moyen de transport pour aller travailler</t>
  </si>
  <si>
    <t>Nombre d'actifs occupés de 15 ans ou plus qui utilisent principalement les transports en commun pour aller travailler</t>
  </si>
  <si>
    <t>Nombre d'actifs occupés de 15 ans ou plus qui utilisent principalement une voiture ou un camion pour aller travailler</t>
  </si>
  <si>
    <t>Nombre de familles formées d'un couple avec enfant(s)</t>
  </si>
  <si>
    <t>Nombre de familles formées d'un couple sans enfant</t>
  </si>
  <si>
    <t>Nombre de femmes de 15 ans ou plus</t>
  </si>
  <si>
    <t>Nombre de femmes de 15 ans ou plus Agriculteurs exploitants</t>
  </si>
  <si>
    <t>Nombre de femmes de 15 ans ou plus Artisans, Commerçants, Chefs d'entreprise</t>
  </si>
  <si>
    <t>Nombre de femmes de 15 ans ou plus Cadres et Professions intellectuelles supérieures</t>
  </si>
  <si>
    <t>Nombre de femmes de 15 ans ou plus Professions intermédiaires</t>
  </si>
  <si>
    <t>Nombre de femmes de 15 ans ou plus Employés</t>
  </si>
  <si>
    <t>Nombre de femmes de 15 ans ou plus Ouvriers</t>
  </si>
  <si>
    <t>Nombre de femmes de 15 ans ou plus Retraités</t>
  </si>
  <si>
    <t>Nombre de femmes de 15 ans ou plus Autres sans activité professionnelle</t>
  </si>
  <si>
    <t>Nombre de familles</t>
  </si>
  <si>
    <t>Nombre de familles monoparentales</t>
  </si>
  <si>
    <t>Nombre d'hommes de 15 ans ou plus</t>
  </si>
  <si>
    <t>Nombre d'hommes de 15 ans ou plus Agriculteurs exploitants</t>
  </si>
  <si>
    <t>Nombre d'hommes de 15 ans ou plus Artisans, Commerçants, Chefs d'entreprise</t>
  </si>
  <si>
    <t>Nombre d'hommes de 15 ans ou plus Cadres et Professions intellectuelles supérieures</t>
  </si>
  <si>
    <t>Nombre d'hommes de 15 ans ou plus Professions intermédiaires</t>
  </si>
  <si>
    <t>Nombre d'hommes de 15 ans ou plus Employés</t>
  </si>
  <si>
    <t>Nombre d'hommes de 15 ans ou plus Ouvriers</t>
  </si>
  <si>
    <t>Nombre d'hommes de 15 ans ou plus Retraités</t>
  </si>
  <si>
    <t>Nombre d'hommes de 15 ans ou plus Autres sans activité professionnelle</t>
  </si>
  <si>
    <t>Nombre de ménages</t>
  </si>
  <si>
    <t>Nombre de ménages dont la famille principale est formée d'un couple avec enfant(s)</t>
  </si>
  <si>
    <t>Nombre de ménages dont la famille principale est formée d'un couple sans enfant</t>
  </si>
  <si>
    <t>Nombre de ménages avec famille(s)</t>
  </si>
  <si>
    <t>Nombre de ménages dont la famille principale est une famille monoparentale</t>
  </si>
  <si>
    <t>Nombre de ménages composés de femmes seules</t>
  </si>
  <si>
    <t>Nombre de ménages composés d'hommes seuls</t>
  </si>
  <si>
    <t>Nombre de ménages d'une personne</t>
  </si>
  <si>
    <t>Nombre de ménages autres sans famille</t>
  </si>
  <si>
    <t>Nombre de ménages dont la personne de référence est Agriculteur exploitant</t>
  </si>
  <si>
    <t>Nombre de ménages dont la personne de référence est Artisan, Commerçant, Chef d'entreprise</t>
  </si>
  <si>
    <t>Nombre de ménages dont la personne de référence est Cadre ou exerce une Profession intellectuelle supérieure</t>
  </si>
  <si>
    <t>Nombre de ménages dont la personne de référence exerce une Profession intermédiaire</t>
  </si>
  <si>
    <t>Nombre de ménages dont la personne de référence est Employé</t>
  </si>
  <si>
    <t>Nombre de ménages dont la personne de référence est Ouvrier</t>
  </si>
  <si>
    <t>Nombre de ménages dont la personne de référence est Retraité</t>
  </si>
  <si>
    <t>Nombre de ménages dont la personne de référence est Autre sans activité professionnelle</t>
  </si>
  <si>
    <t>Nombre de familles avec 0 enfant de moins de 25 ans</t>
  </si>
  <si>
    <t>Nombre de familles avec 1 enfant de moins de 25 ans</t>
  </si>
  <si>
    <t>Nombre de familles avec 2 enfants de moins de 25 ans</t>
  </si>
  <si>
    <t>Nombre de familles avec 3 enfants de moins de 25 ans</t>
  </si>
  <si>
    <t>Nombre de familles avec 4 enfants ou plus de moins de 25 ans</t>
  </si>
  <si>
    <t>Nombre de personnes des ménages</t>
  </si>
  <si>
    <t>Nombre de personnes des ménages dont la personne de référence est Agriculteur exploitant</t>
  </si>
  <si>
    <t>Nombre de personnes des ménages dont la personne de référence est Artisan, Commerçant, Chef d'entreprise</t>
  </si>
  <si>
    <t>Nombre de personnes des ménages dont la personne de référence est Cadre ou exerce une Profession intellectuelle supérieure</t>
  </si>
  <si>
    <t>Nombre de personnes des ménages dont la personne de référence exerce une Profession intermédiaire</t>
  </si>
  <si>
    <t>Nombre de personnes des ménages dont la personne de référence est Employé</t>
  </si>
  <si>
    <t>Nombre de personnes des ménages dont la personne de référence est Ouvrier</t>
  </si>
  <si>
    <t>Nombre de personnes des ménages dont la personne de référence est Retraité</t>
  </si>
  <si>
    <t>Nombre de personnes des ménages dont la personne de référence est Autre sans activité professionnelle</t>
  </si>
  <si>
    <t>Nombre de personnes des ménages dont la famille principale est un couple avec enfant(s)</t>
  </si>
  <si>
    <t>Nombre de personnes des ménages dont la famille principale est un couple sans enfant</t>
  </si>
  <si>
    <t>Nombre de personnes des ménages avec famille(s)</t>
  </si>
  <si>
    <t>Nombre de personnes des ménages dont la famille principale est une famille monoparentale</t>
  </si>
  <si>
    <t>Nombre de personnes des ménages composés de femmes seules</t>
  </si>
  <si>
    <t>Nombre de personnes des ménages composés d'hommes seuls</t>
  </si>
  <si>
    <t>Nombre de personnes des ménages d'une personne</t>
  </si>
  <si>
    <t>Nombre de personnes des ménages Autres sans famille</t>
  </si>
  <si>
    <t>Nombre de personnes de 15 ans ou plus</t>
  </si>
  <si>
    <t>Nombre de personnes de 15 ans ou plus Agriculteurs exploitants</t>
  </si>
  <si>
    <t>Nombre de personnes de 15 ans ou plus Artisans, Commerçants, Chefs d'entreprise</t>
  </si>
  <si>
    <t>Nombre de personnes de 15 ans ou plus Cadres et Professions intellectuelles supérieures</t>
  </si>
  <si>
    <t>Nombre de personnes de 15 ans ou plus Professions intermédiaires</t>
  </si>
  <si>
    <t>Nombre de personnes de 15 ans ou plus Employés</t>
  </si>
  <si>
    <t>Nombre de personnes de 15 ans ou plus Ouvriers</t>
  </si>
  <si>
    <t>Nombre de personnes de 15 ans ou plus Retraités</t>
  </si>
  <si>
    <t>Nombre de personnes de 15 ans ou plus Autres sans activité professionnelle</t>
  </si>
  <si>
    <t>Code du département suivi du numéro de commune ou du numéro d'arrondissement municipal pour Paris Lyon et Marseille</t>
  </si>
  <si>
    <t>Code du département</t>
  </si>
  <si>
    <t>Code du département suivi du numéro de commune ou du numéro d'arrondissement municipal pour Paris Lyon et Marseille suivi du numéro de grand quartier</t>
  </si>
  <si>
    <t>Code du département suivi du numéro de commune ou du numéro d'arrondissement municipal suivi du numéro d'IRIS</t>
  </si>
  <si>
    <t>Libellé de la commune ou de l'arrondissement municipal pour Paris Lyon et Marseille</t>
  </si>
  <si>
    <t>Libellé de l'IRIS à l'intérieur de la commune ou de l'arrondissement municipal pour Paris Lyon et Marseille</t>
  </si>
  <si>
    <t>Type de modification de l'IRIS depuis 1999</t>
  </si>
  <si>
    <t>Nombre de personnes actives de 15 à 24 ans</t>
  </si>
  <si>
    <t>Nombre de personnes actives de 25 à 54 ans</t>
  </si>
  <si>
    <t>Nombre de personnes actives de 55 à 64 ans</t>
  </si>
  <si>
    <t>Nombre de personnes actives occupées de 15 à 24 ans</t>
  </si>
  <si>
    <t>Nombre de personnes actives occupées de 15 ans ou plus</t>
  </si>
  <si>
    <t>Nombre d'actifs occupés de 15 ans ou plus qui travaillent dans la commune de résidence</t>
  </si>
  <si>
    <t>Nombre d'actifs occupés de 15 ans ou plus qui travaillent dans une autre commune située dans le département de résidence</t>
  </si>
  <si>
    <t>Nombre d'actifs occupés de 15 ans ou plus qui travaillent dans une autre commune que la commune de résidence</t>
  </si>
  <si>
    <t>Nombre d'actifs occupés de 15 ans ou plus qui travaillent dans une autre commune située dans un autre département de la région de résidence</t>
  </si>
  <si>
    <t>Nombre d'actifs occupés de 15 ans ou plus qui travaillent dans une commune située dans une autre région en France métropolitaine</t>
  </si>
  <si>
    <t>Nombre d'actifs occupés de 15 ans ou plus qui travaillent ailleurs, hors de France métropolitaine (Département d'outre-mer, Collectivité d'outre-mer ou à l'étranger)</t>
  </si>
  <si>
    <t>Nombre de personnes actives occupées de 15 ans ou plus à temps partiel</t>
  </si>
  <si>
    <t>Nombre de personnes actives occupées de 25 à 54 ans</t>
  </si>
  <si>
    <t>Nombre de personnes actives occupées de 55 à 64 ans</t>
  </si>
  <si>
    <t>Nombre d'autres inactifs de 15 à 64 ans</t>
  </si>
  <si>
    <t>Ancienneté totale d'emménagement dans les résidences principales en années</t>
  </si>
  <si>
    <t>Ancienneté totale d'emménagement dans les résidences principales occupées gratuitement en années</t>
  </si>
  <si>
    <t>Ancienneté totale d'emménagement dans les résidences principales occupées par des locataires en années</t>
  </si>
  <si>
    <t>Ancienneté totale d'emménagement dans les résidences principales HLM louées vides en années</t>
  </si>
  <si>
    <t>Ancienneté totale d'emménagement dans les résidences principales occupées par des propriétaires en années</t>
  </si>
  <si>
    <t>Nombre d'appartements</t>
  </si>
  <si>
    <t>Nombre de chômeurs de 15 à 24 ans</t>
  </si>
  <si>
    <t>Nombre de chômeurs de 15 à 64 ans</t>
  </si>
  <si>
    <t>Nombre de chômeurs de 25 à 54 ans</t>
  </si>
  <si>
    <t>Nombre de chômeurs de 55 à 64 ans</t>
  </si>
  <si>
    <t>Nombre d'élèves, étudiants et stagiaires non rémunérés de 15 à 64 ans</t>
  </si>
  <si>
    <t>Nombre de femmes de 0 à 14 ans</t>
  </si>
  <si>
    <t>Nombre de femmes de 0 à 19 ans</t>
  </si>
  <si>
    <t>Nombre de femmes de 15 à 24 ans</t>
  </si>
  <si>
    <t>Nombre de femmes de 15 à 29 ans</t>
  </si>
  <si>
    <t>Nombre de femmes de 15 à 64 ans</t>
  </si>
  <si>
    <t>Nombre de femmes de 20 à 64 ans</t>
  </si>
  <si>
    <t>Nombre de femmes de 25 à 54 ans</t>
  </si>
  <si>
    <t>Nombre de femmes de 30 à 44 ans</t>
  </si>
  <si>
    <t>Nombre de femmes de 45 à 59 ans</t>
  </si>
  <si>
    <t>Nombre de femmes de 55 à 64 ans</t>
  </si>
  <si>
    <t>Nombre de femmes de 60 à 74 ans</t>
  </si>
  <si>
    <t>Nombre de femmes de 65 ans ou plus</t>
  </si>
  <si>
    <t>Nombre de femmes de 75 ans ou plus</t>
  </si>
  <si>
    <t>Nombre de femmes actives de 15 à 24 ans</t>
  </si>
  <si>
    <t>Nombre de femmes actives de 15 à 64 ans</t>
  </si>
  <si>
    <t>Nombre de femmes actives de 25 à 54 ans</t>
  </si>
  <si>
    <t>Nombre de femmes actives de 55 à 64 ans</t>
  </si>
  <si>
    <t>Nombre de femmes actives occupées de 15 à 24 ans</t>
  </si>
  <si>
    <t>Nombre de femmes actives occupées de 15 à 64 ans</t>
  </si>
  <si>
    <t>Nombre de femmes actives occupées de 15 ans ou plus</t>
  </si>
  <si>
    <t>Nombre de femmes actives occupées de 25 à 54 ans</t>
  </si>
  <si>
    <t>Nombre de femmes actives occupées de 55 à 64 ans</t>
  </si>
  <si>
    <t>Nombre d'autres inactifs femmes de 15 à 64 ans</t>
  </si>
  <si>
    <t>Nombre de chômeurs femmes de 15 à 64 ans</t>
  </si>
  <si>
    <t>Nombre d'élèves, étudiants et stagiaires non rémunérés femmes de 15 à 64 ans</t>
  </si>
  <si>
    <t>Nombre de femmes inactives de 15 à 64 ans</t>
  </si>
  <si>
    <t>Nombre de femmes non-salariées de 15 ans ou plus</t>
  </si>
  <si>
    <t>Nombre de femmes non scolarisées de 15 ans ou plus</t>
  </si>
  <si>
    <t>Nombre de femmes non scolarisées de 15 ans ou plus titulaires d'un baccalauréat (général, technologique, professionnel)</t>
  </si>
  <si>
    <t>Nombre de femmes non scolarisées de 15 ans ou plus titulaires d'un CAP ou d'un BEP</t>
  </si>
  <si>
    <t>Nombre de femmes non scolarisées de 15 ans ou plus titulaires d'aucun diplôme ou au plus un BEPC, brevet des collèges ou DNB</t>
  </si>
  <si>
    <t>Nombre de femmes non scolarisées de 15 ans ou plus titulaires d'un diplôme de l'enseignement supérieur</t>
  </si>
  <si>
    <t>Nombre de retraités ou préretraités femmes de 15 à 64 ans</t>
  </si>
  <si>
    <t>Nombre de femmes salariées de 15 ans ou plus</t>
  </si>
  <si>
    <t>Nombre de femmes salariées de 15 ans ou plus à temps partiel</t>
  </si>
  <si>
    <t>Nombre d'hommes de 0 à 14 ans</t>
  </si>
  <si>
    <t>Nombre d'hommes de 0 à 19 ans</t>
  </si>
  <si>
    <t>Nombre d'hommes de 15 à 24 ans</t>
  </si>
  <si>
    <t>Nombre d'hommes de 15 à 29 ans</t>
  </si>
  <si>
    <t>Nombre d'hommes de 15 à 64 ans</t>
  </si>
  <si>
    <t>Nombre d'hommes de 20 à 64 ans</t>
  </si>
  <si>
    <t>Nombre d'hommes de 25 à 54 ans</t>
  </si>
  <si>
    <t>Nombre d'hommes de 30 à 44 ans</t>
  </si>
  <si>
    <t>Nombre d'hommes de 45 à 59 ans</t>
  </si>
  <si>
    <t>Nombre d'hommes de 55 à 64 ans</t>
  </si>
  <si>
    <t>Nombre d'hommes de 60 à 74 ans</t>
  </si>
  <si>
    <t>Nombre d'hommes de 65 ans ou plus</t>
  </si>
  <si>
    <t>Nombre d'hommes de 75 ans ou plus</t>
  </si>
  <si>
    <t>Nombre d'hommes actifs de 15 à 24 ans</t>
  </si>
  <si>
    <t>Nombre d'hommes actifs de 15 à 64 ans</t>
  </si>
  <si>
    <t>Nombre d'hommes actifs de 25 à 54 ans</t>
  </si>
  <si>
    <t>Nombre d'hommes actifs de 55 à 64 ans</t>
  </si>
  <si>
    <t>Nombre d'hommes actifs occupés de 15 à 24 ans</t>
  </si>
  <si>
    <t>Nombre d'hommes actifs occupés de 15 à 64 ans</t>
  </si>
  <si>
    <t>Nombre d'hommes actifs occupés de 15 ans ou plus</t>
  </si>
  <si>
    <t>Nombre d'hommes actifs occupés de 25 à 54 ans</t>
  </si>
  <si>
    <t>Nombre d'hommes actifs occupés de 55 à 64 ans</t>
  </si>
  <si>
    <t>Nombre d'autres inactifs hommes de 15 à 64 ans</t>
  </si>
  <si>
    <t>Nombre de chômeurs hommes de 15 à 64 ans</t>
  </si>
  <si>
    <t>Nombre d'élèves, étudiants et stagiaires non rémunérés hommes de 15 à 64 ans</t>
  </si>
  <si>
    <t>Nombre d'hommes inactifs de 15 à 64 ans</t>
  </si>
  <si>
    <t>Nombre d'hommes non-salariés de 15 ans ou plus</t>
  </si>
  <si>
    <t>Nombre d'hommes non scolarisés de 15 ans ou plus</t>
  </si>
  <si>
    <t>Nombre d'hommes non scolarisés de 15 ans ou plus titulaires d'un baccalauréat (général, technologique, professionnel)</t>
  </si>
  <si>
    <t>Nombre d'hommes non scolarisés de 15 ans ou plus titulaires d'un CAP ou d'un BEP</t>
  </si>
  <si>
    <t>Nombre d'hommes non scolarisés de 15 ans ou plus titulaires d'aucun diplôme ou au plus un BEPC, brevet des collèges ou DNB</t>
  </si>
  <si>
    <t>Nombre d'hommes non scolarisés de 15 ans ou plus titulaires d'un diplôme de l'enseignement supérieur</t>
  </si>
  <si>
    <t>Nombre de retraités ou préretraités hommes de 15 à 64 ans</t>
  </si>
  <si>
    <t>Nombre d'hommes salariés de 15 ans ou plus</t>
  </si>
  <si>
    <t>Nombre d'hommes salariés de 15 ans ou plus à temps partiel</t>
  </si>
  <si>
    <t>Nombre de personnes inactives de 15 à 64 ans</t>
  </si>
  <si>
    <t>Nombre de logements vacants</t>
  </si>
  <si>
    <t>Nombre de maisons</t>
  </si>
  <si>
    <t>Nombre de ménages ayant emménagé depuis moins de 2 ans</t>
  </si>
  <si>
    <t>Nombre de ménages ayant emménagé entre 2 et 4 ans</t>
  </si>
  <si>
    <t>Nombre de ménages ayant emménagé entre 5 et 9 ans</t>
  </si>
  <si>
    <t>Nombre de ménages ayant emménagé depuis 10 ans ou plus</t>
  </si>
  <si>
    <t>Nombre de pièces des résidences principales</t>
  </si>
  <si>
    <t>Nombre de pièces des résidences principales de type appartement</t>
  </si>
  <si>
    <t>Nombre de pièces des résidences principales de type maison</t>
  </si>
  <si>
    <t>Nombre de pièces des résidences principales dans lesquelles le ménage a emménagé depuis moins de 2 ans</t>
  </si>
  <si>
    <t>Nombre de pièces des résidences principales dans lesquelles le ménage a emménagé entre 2 et 4 ans</t>
  </si>
  <si>
    <t>Nombre de pièces des résidences principales dans lesquelles le ménage a emménagé entre 5 et 9 ans</t>
  </si>
  <si>
    <t>Nombre de pièces des résidences principales dans lesquelles le ménage a emménagé depuis 10 ans ou plus</t>
  </si>
  <si>
    <t>Nombre de personnes des résidences principales</t>
  </si>
  <si>
    <t>Nombre de personnes des résidences principales occupées gratuitement</t>
  </si>
  <si>
    <t>Nombre de personnes des résidences principales occupées par des locataires</t>
  </si>
  <si>
    <t>Nombre de personnes des résidences principales HLM louées vides</t>
  </si>
  <si>
    <t>Nombre de personnes des résidences principales occupées par des propriétaires</t>
  </si>
  <si>
    <t>Nombre de personnes non-salariées de 15 ans ou plus</t>
  </si>
  <si>
    <t>Nombre de personnes non-salariées de 15 ans ou plus aides familiaux</t>
  </si>
  <si>
    <t>Nombre de personnes non-salariées de 15 ans ou plus employeurs</t>
  </si>
  <si>
    <t>Nombre de personnes non-salariées de 15 ans ou plus indépendants</t>
  </si>
  <si>
    <t>Nombre de personnes non-salariées de 15 ans ou plus à temps partiel</t>
  </si>
  <si>
    <t>Nombre de personnes non scolarisées de 15 ans ou plus</t>
  </si>
  <si>
    <t>Population hors ménages</t>
  </si>
  <si>
    <t>Population des ménages</t>
  </si>
  <si>
    <t>Population des ménages ayant emménagé depuis moins de 2 ans</t>
  </si>
  <si>
    <t>Population des ménages ayant emménagé entre 2 et 4 ans</t>
  </si>
  <si>
    <t>Population des ménages ayant emménagé entre 5 et 9 ans</t>
  </si>
  <si>
    <t>Population des ménages ayant emménagé depuis 10 ans ou plus</t>
  </si>
  <si>
    <t>Nombre de personnes de 0 à 2 ans</t>
  </si>
  <si>
    <t>Nombre de personnes de 0 à 14 ans</t>
  </si>
  <si>
    <t>Nombre de personnes de 0 à 19 ans</t>
  </si>
  <si>
    <t>Nombre de personnes de 2 à 5 ans</t>
  </si>
  <si>
    <t>Nombre de personnes de 3 à 5 ans</t>
  </si>
  <si>
    <t>Nombre de personnes de 6 à 10 ans</t>
  </si>
  <si>
    <t>Nombre de personnes de 11 à 14 ans</t>
  </si>
  <si>
    <t>Nombre de personnes de 11 à 17 ans</t>
  </si>
  <si>
    <t>Nombre de personnes de 15 à 17 ans</t>
  </si>
  <si>
    <t>Nombre de personnes de 15 à 24 ans vivant seules</t>
  </si>
  <si>
    <t>Nombre de personnes de 15 à 29 ans</t>
  </si>
  <si>
    <t>Nombre de personnes de 15 à 64 ans</t>
  </si>
  <si>
    <t>Nombre de personnes de 15 ans ou plus mariées</t>
  </si>
  <si>
    <t>Nombre de personnes de 15 ans ou plus non mariées</t>
  </si>
  <si>
    <t>Nombre de personnes de 15 ans ou plus vivant seules</t>
  </si>
  <si>
    <t>Nombre de personnes de 18 à 24 ans</t>
  </si>
  <si>
    <t>Nombre de personnes de 20 à 64 ans</t>
  </si>
  <si>
    <t>Nombre de personnes de 25 à 29 ans</t>
  </si>
  <si>
    <t>Nombre de personnes de 25 à 39 ans</t>
  </si>
  <si>
    <t>Nombre de personnes de 25 à 54 ans vivant seules</t>
  </si>
  <si>
    <t>Nombre de personnes de 30 à 44 ans</t>
  </si>
  <si>
    <t>Nombre de personnes de 30 ans ou plus</t>
  </si>
  <si>
    <t>Nombre de personnes de 40 à 54 ans</t>
  </si>
  <si>
    <t>Nombre de personnes de 45 à 59 ans</t>
  </si>
  <si>
    <t>Nombre de personnes de 55 à 64 ans</t>
  </si>
  <si>
    <t>Nombre de personnes de 55 à 79 ans vivant seules</t>
  </si>
  <si>
    <t>Nombre de personnes de 60 à 74 ans</t>
  </si>
  <si>
    <t>Nombre de personnes de 65 à 79 ans</t>
  </si>
  <si>
    <t>Nombre de personnes de 65 ans ou plus</t>
  </si>
  <si>
    <t>Nombre de personnes de 75 ans ou plus</t>
  </si>
  <si>
    <t>Nombre de personnes de 80 ans ou plus</t>
  </si>
  <si>
    <t>Nombre de personnes de 80 ans ou plus vivant seules</t>
  </si>
  <si>
    <t>Nombre de femmes</t>
  </si>
  <si>
    <t>Nombre d'hommes</t>
  </si>
  <si>
    <t>Nombre de personnes des ménages de 15 à 24 ans</t>
  </si>
  <si>
    <t>Nombre de personnes des ménages de 15 ans ou plus</t>
  </si>
  <si>
    <t>Nombre de personnes des ménages de 25 à 54 ans</t>
  </si>
  <si>
    <t>Nombre de personnes des ménages de 55 à 79 ans</t>
  </si>
  <si>
    <t>Nombre de personnes des ménages de 80 ans ou plus</t>
  </si>
  <si>
    <t>Nombre de personnes étrangères</t>
  </si>
  <si>
    <t>Nombre de personnes de nationalité française</t>
  </si>
  <si>
    <t>Nombres de personnes immigrées</t>
  </si>
  <si>
    <t>Nombre de retraités ou préretraités de 15 à 64 ans</t>
  </si>
  <si>
    <t>Nombre de résidences principales</t>
  </si>
  <si>
    <t>Nombre de résidences principales de type appartement</t>
  </si>
  <si>
    <t>Nombre de résidences principales de type appartement construites de 1991 à 2005</t>
  </si>
  <si>
    <t>Nombre de résidences principales de type appartement construites de 2006 à 2010</t>
  </si>
  <si>
    <t>Nombre de résidences principales de type appartement construites avant 1919</t>
  </si>
  <si>
    <t>Nombre de résidences principales de type appartement construites de 1919 à 1945</t>
  </si>
  <si>
    <t>Nombre de résidences principales de type appartement construites de 1946 à 1970</t>
  </si>
  <si>
    <t>Nombre de résidences principales de type appartement construites de 1971 à 1990</t>
  </si>
  <si>
    <t>Nombre de résidences principales de type appartement construites avant 2011</t>
  </si>
  <si>
    <t>Nombre de résidences principales de type maison</t>
  </si>
  <si>
    <t>Nombre de résidences principales de type maison construites de 1991 à 2005</t>
  </si>
  <si>
    <t>Nombre de résidences principales de type maison construites de 2006 à 2010</t>
  </si>
  <si>
    <t>Nombre de résidences principales de type maison construites avant 1919</t>
  </si>
  <si>
    <t>Nombre de résidences principales de type maison construites de 1919 à 1945</t>
  </si>
  <si>
    <t>Nombre de résidences principales de type maison construites de 1946 à 1970</t>
  </si>
  <si>
    <t>Nombre de résidences principales de type maison construites de 1971 à 1990</t>
  </si>
  <si>
    <t>Nombre de résidences principales de type maison construites avant 2011</t>
  </si>
  <si>
    <t>Nombre de résidences principales de 100 à moins de 120 m2</t>
  </si>
  <si>
    <t>Nombre de résidences principales de 120 m2 ou plus</t>
  </si>
  <si>
    <t>Nombre de résidences principales d'1 pièce</t>
  </si>
  <si>
    <t>Nombre de résidences principales de 2 pièces</t>
  </si>
  <si>
    <t>Nombre de résidences principales de 30 à moins de 40 m2</t>
  </si>
  <si>
    <t>Nombre de résidences principales de 3 pièces</t>
  </si>
  <si>
    <t>Nombre de résidences principales de 40 à moins de 60 m2</t>
  </si>
  <si>
    <t>Nombre de résidences principales de 4 pièces</t>
  </si>
  <si>
    <t>Nombre de résidences principales de 5 pièces ou plus</t>
  </si>
  <si>
    <t>Nombre de résidences principales de 60 à moins de 80 m2</t>
  </si>
  <si>
    <t>Nombre de résidences principales de 80 à moins de 100 m2</t>
  </si>
  <si>
    <t>Nombre de résidences principales construites de 1991 à 2005</t>
  </si>
  <si>
    <t>Nombre de résidences principales construites de 2006 à 2010</t>
  </si>
  <si>
    <t>Nombre de résidences principales construites avant 1919</t>
  </si>
  <si>
    <t>Nombre de résidences principales construites de 1919 à 1945</t>
  </si>
  <si>
    <t>Nombre de résidences principales construites de 1946 à 1970</t>
  </si>
  <si>
    <t>Nombre de résidences principales construites de 1971 à 1990</t>
  </si>
  <si>
    <t>Nombre de résidences principales construites avant 2011</t>
  </si>
  <si>
    <t>Nombre de résidences principales avec baignoire ou douche et WC à l'intérieur du logement (variable spécifique aux Départements d'outre-mer)</t>
  </si>
  <si>
    <t>Nombre de résidences principales cases traditionnelles (variable spécifique aux Départements d'outre-mer)</t>
  </si>
  <si>
    <t>Nombre de résidences principales avec chauffage central collectif (variable spécifique à la France métropolitaine)</t>
  </si>
  <si>
    <t>Nombre de résidences principales avec chauffage central individuel (variable spécifique à la France métropolitaine)</t>
  </si>
  <si>
    <t>Nombre de résidences principales avec chauffe-eau solaire (variable spécifique aux Départements d'outre-mer)</t>
  </si>
  <si>
    <t>Nombre de résidences principales avec chauffage individuel électrique (variable spécifique à la France métropolitaine)</t>
  </si>
  <si>
    <t>Nombre de résidences principales avec pièce climatisée (variable spécifique aux Départements d'outre-mer)</t>
  </si>
  <si>
    <t>Nombre de résidences principales avec eau chaude dans le logement (variable spécifique aux Départements d'outre-mer)</t>
  </si>
  <si>
    <t>Nombre de résidences principales avec électricité dans le logement (variable spécifique aux Départements d'outre-mer)</t>
  </si>
  <si>
    <t>Nombre de ménages disposant au moins d'un emplacement réservé au stationnement</t>
  </si>
  <si>
    <t>Nombre de résidences principales occupées gratuitement</t>
  </si>
  <si>
    <t>Nombre de résidences principales habitations de fortune (variable spécifique aux Départements d'outre-mer)</t>
  </si>
  <si>
    <t>Nombre de résidences principales occupées par des locataires</t>
  </si>
  <si>
    <t>Nombre de résidences principales HLM loué vide</t>
  </si>
  <si>
    <t>Nombre de résidences principales de moins de 30 m2</t>
  </si>
  <si>
    <t>Nombre de résidences principales maisons ou immeubles en bois (variable spécifique aux Départements d'outre-mer)</t>
  </si>
  <si>
    <t>Nombre de résidences principales maisons ou immeubles en dur (variable spécifique aux Départements d'outre-mer)</t>
  </si>
  <si>
    <t>Nombre de résidences principales occupées par des propriétaires</t>
  </si>
  <si>
    <t>Nombre de résidences principales avec salle de bain dotée de baignoire ou douche (variable spécifique à la France métropolitaine)</t>
  </si>
  <si>
    <t>Nombre de résidences principales avec tout à l'égout (variable spécifique aux Départements d'outre-mer)</t>
  </si>
  <si>
    <t>Nombre de ménages disposant d'une voiture</t>
  </si>
  <si>
    <t>Nombre de ménages disposant au moins d'une voiture</t>
  </si>
  <si>
    <t>Nombre de ménages disposant de deux voitures ou plus</t>
  </si>
  <si>
    <t>Nombre de résidences secondaires et logements occasionnels</t>
  </si>
  <si>
    <t>Nombre de personnes salariées de 15 ans ou plus</t>
  </si>
  <si>
    <t>Nombre de personnes salariées de 15 ans ou plus en apprentissage ou stagiaires</t>
  </si>
  <si>
    <t>Nombre de personnes salariées de 15 ans ou plus ayant un contrat à durée déterminée</t>
  </si>
  <si>
    <t>Nombre de personnes salariées de 15 ans ou plus titulaires de la fonction publique ou d'un contrat à durée indéterminée</t>
  </si>
  <si>
    <t>Nombre de personnes salariées de 15 ans ou plus Emplois aidés</t>
  </si>
  <si>
    <t>Nombre de personnes salariées de 15 ans ou plus intérimaires</t>
  </si>
  <si>
    <t>Nombre de personnes salariées de 15 ans ou plus à temps partiel</t>
  </si>
  <si>
    <t>Nombre de personnes scolarisées de 2 à 5 ans</t>
  </si>
  <si>
    <t>Nombre de personnes scolarisées de 6 à 10 ans</t>
  </si>
  <si>
    <t>Nombre de personnes scolarisées de 11 à 14 ans</t>
  </si>
  <si>
    <t>Nombre de personnes scolarisées de 15 à 17 ans</t>
  </si>
  <si>
    <t>Nombre de personnes scolarisées de 18 à 24 ans</t>
  </si>
  <si>
    <t>Nombre de personnes scolarisées de 25 à 29 ans</t>
  </si>
  <si>
    <t>Nombre de personnes scolarisées de 30 ans ou plus</t>
  </si>
  <si>
    <t>Code de la région</t>
  </si>
  <si>
    <t>Code du département suivi d'un numéro d'ordre à l'intérieur du département sur trois positions puis d'un indicateur de TRIRIS</t>
  </si>
  <si>
    <t>Nom de la variable</t>
  </si>
  <si>
    <t>Description de la variable</t>
  </si>
  <si>
    <t>Ajouter à la carte</t>
  </si>
  <si>
    <t>Catégorie</t>
  </si>
  <si>
    <t>Année</t>
  </si>
  <si>
    <t>DSL éligibles</t>
  </si>
  <si>
    <t>DSL 3 Mbits</t>
  </si>
  <si>
    <t>DSL 8 Mbits</t>
  </si>
  <si>
    <t>DSL 30 Mbits</t>
  </si>
  <si>
    <t>DSL 100 Mbits</t>
  </si>
  <si>
    <t>Cable éligibles</t>
  </si>
  <si>
    <t>Cable 3 Mbits</t>
  </si>
  <si>
    <t>Cable 8 Mbits</t>
  </si>
  <si>
    <t>Cable 30 Mbits</t>
  </si>
  <si>
    <t>Cable 100 Mbits</t>
  </si>
  <si>
    <t>Fibre 3 Mbits</t>
  </si>
  <si>
    <t>Fibre 8 Mbits</t>
  </si>
  <si>
    <t>Fibre 30 Mbits</t>
  </si>
  <si>
    <t>Fibre 100 Mbits</t>
  </si>
  <si>
    <t>3G Bouygues Telecom</t>
  </si>
  <si>
    <t>3G Free Mobile</t>
  </si>
  <si>
    <t>3G Orange</t>
  </si>
  <si>
    <t>3G SFR</t>
  </si>
  <si>
    <t>2G Bouygues Telecom</t>
  </si>
  <si>
    <t>2G Free Mobile</t>
  </si>
  <si>
    <t>2G Orange</t>
  </si>
  <si>
    <t>2G SFR</t>
  </si>
  <si>
    <t>Inondation Par remontees de nappes naturelles</t>
  </si>
  <si>
    <t>Inondation Par ruissellement et coulee de boue</t>
  </si>
  <si>
    <t>Inondation Par submersion marine</t>
  </si>
  <si>
    <t>Inondation Par une crue a debordement lent de cours d?eau</t>
  </si>
  <si>
    <t>Inondation Par une crue torrentielle ou a montee rapide de cours d?eau</t>
  </si>
  <si>
    <t xml:space="preserve">Mouvement de terrain </t>
  </si>
  <si>
    <t>Mouvement de terrain Affaissements et effondrements lies aux cavites souterrain es (hors mines)</t>
  </si>
  <si>
    <t>Mouvement de terrain Anvancee dunaire</t>
  </si>
  <si>
    <t>Mouvement de terrain Recul du trait de cote et de falaises</t>
  </si>
  <si>
    <t>Mouvement de terrain Tassements differentiels</t>
  </si>
  <si>
    <t>Risque industriel Effet de surpression</t>
  </si>
  <si>
    <t>Risque industriel Effet thermique</t>
  </si>
  <si>
    <t>Risque industriel Effet toxique</t>
  </si>
  <si>
    <t>Nombre de catastrophes naturelles : Mouvement de terrain</t>
  </si>
  <si>
    <t>Délai de vente moyen d'un logement (Site 1)</t>
  </si>
  <si>
    <t>Evolution des prix des logements depuis 1 an (Site 1)</t>
  </si>
  <si>
    <t>Evolution des prix des logements à 1 an (Site 1)</t>
  </si>
  <si>
    <t>Evolution des prix des logements à 1 mois (Site 1)</t>
  </si>
  <si>
    <t>Evolution des prix des logements à 10 ans (Site 1)</t>
  </si>
  <si>
    <t>Evolution des prix des logements à 2 ans (Site 1)</t>
  </si>
  <si>
    <t>Evolution des prix des logements à 3 mois (Site 1)</t>
  </si>
  <si>
    <t>Evolution des prix des logements à 5 ans (Site 1)</t>
  </si>
  <si>
    <t>Loyer mensuel par m2 maximum (Site 1)</t>
  </si>
  <si>
    <t>Loyer mensuel par m2 minimum (Site 1)</t>
  </si>
  <si>
    <t>Loyer mensuel par m2 moyen (Site 1)</t>
  </si>
  <si>
    <t>Nombre d'acheteurs actifs pour un bien en vente (Site 1)</t>
  </si>
  <si>
    <t>Part des ménages résidents pouvant acheter un 60 m2 (Site 1)</t>
  </si>
  <si>
    <t>Prix m2 appartement (Site 1)</t>
  </si>
  <si>
    <t>Prix m2 appartement max (Site 1)</t>
  </si>
  <si>
    <t>Prix m2 appartement min (Site 1)</t>
  </si>
  <si>
    <t>Prix m2 appartement moyen (Site 1)</t>
  </si>
  <si>
    <t>Prix m2 maison (Site 1)</t>
  </si>
  <si>
    <t>Prix m2 maison max (Site 1)</t>
  </si>
  <si>
    <t>Prix m2 maison min (Site 1)</t>
  </si>
  <si>
    <t>Prix m2 maison moyen (Site 1)</t>
  </si>
  <si>
    <t>Loyer mensuel par m2 : 2 pieces (Site 1)</t>
  </si>
  <si>
    <t>Loyer mensuel par m2 : 3 pieces (Site 1)</t>
  </si>
  <si>
    <t>Loyer mensuel par m2 : 4 pieces et + (Site 1)</t>
  </si>
  <si>
    <t>Loyer mensuel par m2 : Studio (Site 1)</t>
  </si>
  <si>
    <t>Loyer mensuel par m2 : Tous type de bien (Site 1)</t>
  </si>
  <si>
    <t>Moyenne appartement alentours (Site 1)</t>
  </si>
  <si>
    <t>Moyenne loyer appartement alentours (Site 1)</t>
  </si>
  <si>
    <t>Moyenne maison alentours (Site 1)</t>
  </si>
  <si>
    <t>Rapport loyer appartement vs alentour (Site 1)</t>
  </si>
  <si>
    <t>Rapport prix m2 appartement vs alentour (Site 1)</t>
  </si>
  <si>
    <t>Rapport prix m2 maison vs alentour (Site 1)</t>
  </si>
  <si>
    <t>Risques environnementaux</t>
  </si>
  <si>
    <t>Source</t>
  </si>
  <si>
    <t>INSEE</t>
  </si>
  <si>
    <t>Web-Scrapping</t>
  </si>
  <si>
    <t>Ajouter les variables à la carte Shiny
Enregistrer le dico Shiny en CSV</t>
  </si>
  <si>
    <t>Ajouter_carte</t>
  </si>
  <si>
    <t>Categorie</t>
  </si>
  <si>
    <t>Label</t>
  </si>
  <si>
    <t>Annee</t>
  </si>
  <si>
    <t>Population en 2013</t>
  </si>
  <si>
    <t>Enregistrer le workbook Excel avec macros</t>
  </si>
  <si>
    <t>Sous-Catégorie</t>
  </si>
  <si>
    <t>Sous_Categ</t>
  </si>
  <si>
    <t>Actifs</t>
  </si>
  <si>
    <t>Etudiants</t>
  </si>
  <si>
    <t>Retraités</t>
  </si>
  <si>
    <t>Inactifs</t>
  </si>
  <si>
    <t>CSP</t>
  </si>
  <si>
    <t>Salariés</t>
  </si>
  <si>
    <t>Environnement</t>
  </si>
  <si>
    <t>Services</t>
  </si>
  <si>
    <t>Commerces</t>
  </si>
  <si>
    <t>Qualité du réseau Internet</t>
  </si>
  <si>
    <t>Couverture du réseau mobile</t>
  </si>
  <si>
    <t>Caractéristiques des logements</t>
  </si>
  <si>
    <t>Prix de l'immobilier</t>
  </si>
  <si>
    <t>Brevet des collèges (BEPC ou DNB)</t>
  </si>
  <si>
    <t>CAP ou BEP</t>
  </si>
  <si>
    <t>Baccalauréat</t>
  </si>
  <si>
    <t>Diplôme enseignement supérieur</t>
  </si>
  <si>
    <t>REG2016</t>
  </si>
  <si>
    <t>UU2010</t>
  </si>
  <si>
    <t>P13_ACTOCC1524</t>
  </si>
  <si>
    <t>P13_CHOM1564</t>
  </si>
  <si>
    <t>P13_CHOM1524</t>
  </si>
  <si>
    <t>P13_ETUD1564</t>
  </si>
  <si>
    <t>P13_RETR1564</t>
  </si>
  <si>
    <t>C13_ACT1564</t>
  </si>
  <si>
    <t>C13_ACT1564_CS1</t>
  </si>
  <si>
    <t>C13_ACT1564_CS2</t>
  </si>
  <si>
    <t>C13_ACT1564_CS3</t>
  </si>
  <si>
    <t>C13_ACT1564_CS4</t>
  </si>
  <si>
    <t>C13_ACT1564_CS5</t>
  </si>
  <si>
    <t>C13_ACT1564_CS6</t>
  </si>
  <si>
    <t>P13_POP5579</t>
  </si>
  <si>
    <t>P13_POP0014</t>
  </si>
  <si>
    <t>P13_RP</t>
  </si>
  <si>
    <t>P13_RSECOCC</t>
  </si>
  <si>
    <t>P13_LOGVAC</t>
  </si>
  <si>
    <t>P13_RP_PROP</t>
  </si>
  <si>
    <t>P13_RP_LOCHLMV</t>
  </si>
  <si>
    <t>Agence_de_travail_temporaire</t>
  </si>
  <si>
    <t>Agence_de_voyages</t>
  </si>
  <si>
    <t>Agence_postale</t>
  </si>
  <si>
    <t>Ambulance</t>
  </si>
  <si>
    <t>Athletisme</t>
  </si>
  <si>
    <t>Audio_prothesiste</t>
  </si>
  <si>
    <t>Autre_formation_post_bac_non_universitaire</t>
  </si>
  <si>
    <t>Autres_enseignements_superieurs</t>
  </si>
  <si>
    <t>Autres_formations_continues</t>
  </si>
  <si>
    <t>Autres_etablissements_pour_adultes_et_familles_en_difficulte</t>
  </si>
  <si>
    <t>Aeroport</t>
  </si>
  <si>
    <t>Baignade_amenagee</t>
  </si>
  <si>
    <t>Bassin_de_natation</t>
  </si>
  <si>
    <t>BlanchisserieTeinturerie</t>
  </si>
  <si>
    <t>Boucherie_charcuterie</t>
  </si>
  <si>
    <t>Boucle_de_randonnee</t>
  </si>
  <si>
    <t>Boulodrome</t>
  </si>
  <si>
    <t>Bowling</t>
  </si>
  <si>
    <t>Bureau_de_poste</t>
  </si>
  <si>
    <t>Camping_homologue</t>
  </si>
  <si>
    <t>Centre_dispensant_de_la_formation_continue_agricole</t>
  </si>
  <si>
    <t>Centre_medecine_preventive</t>
  </si>
  <si>
    <t>Centre_equestre</t>
  </si>
  <si>
    <t>Conservatoire</t>
  </si>
  <si>
    <t>Dialyse</t>
  </si>
  <si>
    <t>Droguerie_quincaillerie_bricolage</t>
  </si>
  <si>
    <t>Ecole_de_conduite</t>
  </si>
  <si>
    <t>Enseignement_general_superieur_prive</t>
  </si>
  <si>
    <t>Ergotherapeute</t>
  </si>
  <si>
    <t>Fleuriste</t>
  </si>
  <si>
    <t>Formation_aux_metiers_du_sport</t>
  </si>
  <si>
    <t>Formation_commerce</t>
  </si>
  <si>
    <t>Formation_sante</t>
  </si>
  <si>
    <t>GRETA</t>
  </si>
  <si>
    <t>Horlogerie_Bijouterie</t>
  </si>
  <si>
    <t>Hospitalisation_a_domicile</t>
  </si>
  <si>
    <t>Hypermarche</t>
  </si>
  <si>
    <t>Infirmier</t>
  </si>
  <si>
    <t>Information_touristique</t>
  </si>
  <si>
    <t>Institut_universitaire</t>
  </si>
  <si>
    <t>Librairie_papeterie_journaux</t>
  </si>
  <si>
    <t>Location_automobiles_utilitaires_legers</t>
  </si>
  <si>
    <t>Magasin_de_chaussures</t>
  </si>
  <si>
    <t>Magasin_de_meubles</t>
  </si>
  <si>
    <t>Maison_de_justice_et_du_droit</t>
  </si>
  <si>
    <t>Maison_de_sante_pluridisciplinaire</t>
  </si>
  <si>
    <t>Masseur_kinesitherapeute</t>
  </si>
  <si>
    <t>Maternite</t>
  </si>
  <si>
    <t>Menuisier_charpentier_serrurier</t>
  </si>
  <si>
    <t>Orthophoniste</t>
  </si>
  <si>
    <t>Orthoptiste</t>
  </si>
  <si>
    <t>Parfumerie</t>
  </si>
  <si>
    <t>Plateaux_et_terrains_de_jeux_exterieurs</t>
  </si>
  <si>
    <t>Plombier_couvreur_chauffagiste</t>
  </si>
  <si>
    <t>Psychomotricien</t>
  </si>
  <si>
    <t>Pedicurepodologue</t>
  </si>
  <si>
    <t>Relais_poste</t>
  </si>
  <si>
    <t>Restaurant_universitaire</t>
  </si>
  <si>
    <t>RollerSkateVelo_bicross_ou_freestyle</t>
  </si>
  <si>
    <t>Reparation_automobile_et_de_materiel_agricole</t>
  </si>
  <si>
    <t>Residence_universitaire</t>
  </si>
  <si>
    <t>Sagefemme</t>
  </si>
  <si>
    <t>Salles_de_combat</t>
  </si>
  <si>
    <t>Salles_de_remise_en_forme</t>
  </si>
  <si>
    <t>Salles_non_specialisees</t>
  </si>
  <si>
    <t>Salles_specialisees</t>
  </si>
  <si>
    <t>Section_Technicien_Superieur_Classe_Preparatoire_aux_Grandes_Ecoles</t>
  </si>
  <si>
    <t>Soins_de_beaute</t>
  </si>
  <si>
    <t>Sports_de_glace</t>
  </si>
  <si>
    <t>Sports_nautiques</t>
  </si>
  <si>
    <t>Specialiste_en_cardiologie</t>
  </si>
  <si>
    <t>Specialiste_en_dermatologie_venereologie</t>
  </si>
  <si>
    <t>Specialiste_en_gastroenterologie</t>
  </si>
  <si>
    <t>Specialiste_en_gynecologie_medicale</t>
  </si>
  <si>
    <t>Specialiste_en_gynecologie_obstetrique</t>
  </si>
  <si>
    <t>Specialiste_en_ophtalmologie</t>
  </si>
  <si>
    <t>Specialiste_en_otorhinolaryngologie</t>
  </si>
  <si>
    <t>Specialiste_en_pneumologie</t>
  </si>
  <si>
    <t>Specialiste_en_psychiatrie</t>
  </si>
  <si>
    <t>Specialiste_en_pediatrie</t>
  </si>
  <si>
    <t>Specialiste_en_radiodiagnostic_et_imagerie_medicale</t>
  </si>
  <si>
    <t>Specialiste_en_stomatologie</t>
  </si>
  <si>
    <t>Station_service</t>
  </si>
  <si>
    <t>Structures_psychiatriques_en_ambulatoire</t>
  </si>
  <si>
    <t>Supermarche</t>
  </si>
  <si>
    <t>Taxi</t>
  </si>
  <si>
    <t>Tennis</t>
  </si>
  <si>
    <t>Terrain_de_golf</t>
  </si>
  <si>
    <t>Terrains_de_grands_jeux</t>
  </si>
  <si>
    <t>Transfusion_sanguine</t>
  </si>
  <si>
    <t>Travail_protege</t>
  </si>
  <si>
    <t>UFR</t>
  </si>
  <si>
    <t>Urgences</t>
  </si>
  <si>
    <t>Veterinaire</t>
  </si>
  <si>
    <t>P13_POP1564_part</t>
  </si>
  <si>
    <t>P13_POP1524_part</t>
  </si>
  <si>
    <t>P13_POP2554_part</t>
  </si>
  <si>
    <t>P13_POP5564_part</t>
  </si>
  <si>
    <t>P13_POP15P_part</t>
  </si>
  <si>
    <t>P13_POP5579_part</t>
  </si>
  <si>
    <t>P13_POP80P_part</t>
  </si>
  <si>
    <t>P13_POPMEN15P_part</t>
  </si>
  <si>
    <t>P13_POPMEN1524_part</t>
  </si>
  <si>
    <t>P13_POPMEN2554_part</t>
  </si>
  <si>
    <t>P13_POPMEN5579_part</t>
  </si>
  <si>
    <t>P13_POPMEN80P_part</t>
  </si>
  <si>
    <t>P13_POP15P_PSEUL_part</t>
  </si>
  <si>
    <t>P13_POP1524_PSEUL_part</t>
  </si>
  <si>
    <t>P13_POP2554_PSEUL_part</t>
  </si>
  <si>
    <t>P13_POP5579_PSEUL_part</t>
  </si>
  <si>
    <t>P13_POP80P_PSEUL_part</t>
  </si>
  <si>
    <t>P13_POP15P_MARIEE_part</t>
  </si>
  <si>
    <t>P13_POP15P_NONMARIEE_part</t>
  </si>
  <si>
    <t>P13_POP0205_part</t>
  </si>
  <si>
    <t>P13_POP0610_part</t>
  </si>
  <si>
    <t>P13_POP1114_part</t>
  </si>
  <si>
    <t>P13_POP1517_part</t>
  </si>
  <si>
    <t>P13_POP1824_part</t>
  </si>
  <si>
    <t>P13_POP2529_part</t>
  </si>
  <si>
    <t>P13_POP30P_part</t>
  </si>
  <si>
    <t>P13_POP0002_part</t>
  </si>
  <si>
    <t>P13_POP0305_part</t>
  </si>
  <si>
    <t>P13_POP1117_part</t>
  </si>
  <si>
    <t>P13_POP2539_part</t>
  </si>
  <si>
    <t>P13_POP4054_part</t>
  </si>
  <si>
    <t>P13_POP6579_part</t>
  </si>
  <si>
    <t>P13_POP0014_part</t>
  </si>
  <si>
    <t>P13_POP1529_part</t>
  </si>
  <si>
    <t>P13_POP3044_part</t>
  </si>
  <si>
    <t>P13_POP4559_part</t>
  </si>
  <si>
    <t>P13_POP6074_part</t>
  </si>
  <si>
    <t>P13_POP75P_part</t>
  </si>
  <si>
    <t>P13_POP0019_part</t>
  </si>
  <si>
    <t>P13_POP2064_part</t>
  </si>
  <si>
    <t>P13_POP65P_part</t>
  </si>
  <si>
    <t>P13_POPH_part</t>
  </si>
  <si>
    <t>P13_POPF_part</t>
  </si>
  <si>
    <t>P13_POP_FR_part</t>
  </si>
  <si>
    <t>P13_POP_ETR_part</t>
  </si>
  <si>
    <t>P13_POP_IMM_part</t>
  </si>
  <si>
    <t>P13_024</t>
  </si>
  <si>
    <t>P13_25etplus</t>
  </si>
  <si>
    <t>taux_cho_06_1564</t>
  </si>
  <si>
    <t>taux_cho_06_1524</t>
  </si>
  <si>
    <t>taux_cho_12_1564</t>
  </si>
  <si>
    <t>taux_cho_12_1524</t>
  </si>
  <si>
    <t>P13_NSCOL15P_DIPLMIN_part</t>
  </si>
  <si>
    <t>P13_NSCOL15P_CAPBEP_part</t>
  </si>
  <si>
    <t>P13_NSCOL15P_BAC_part</t>
  </si>
  <si>
    <t>P13_NSCOL15P_SUP_part</t>
  </si>
  <si>
    <t>Revenu_median</t>
  </si>
  <si>
    <t>h12</t>
  </si>
  <si>
    <t>e12</t>
  </si>
  <si>
    <t>b12</t>
  </si>
  <si>
    <t>p12</t>
  </si>
  <si>
    <t>Inscrits</t>
  </si>
  <si>
    <t>Abstentions</t>
  </si>
  <si>
    <t>Votants</t>
  </si>
  <si>
    <t>Blancs_et_nuls</t>
  </si>
  <si>
    <t>Exprimes</t>
  </si>
  <si>
    <t>Pourcentage_Candidat_1er_tour</t>
  </si>
  <si>
    <t>Candidat_1er_tour</t>
  </si>
  <si>
    <t>Pourcentage_Candidat_2eme_tour</t>
  </si>
  <si>
    <t>Candidat_2eme_tour</t>
  </si>
  <si>
    <t>Autre code région</t>
  </si>
  <si>
    <t>Autre code commune</t>
  </si>
  <si>
    <t>Nombre de cadres, professions intellectuelles supérieures actifs de 15 à 64 ans</t>
  </si>
  <si>
    <t>Nombre de personnes de 55 à 79 ans</t>
  </si>
  <si>
    <t>Adultes_handicapes_hebergement</t>
  </si>
  <si>
    <t>Adultes_handicapes_services</t>
  </si>
  <si>
    <t>Aide_sociale_a_lenfance_action_educative</t>
  </si>
  <si>
    <t>Aide_sociale_a_lenfance_hebergement</t>
  </si>
  <si>
    <t>Banque_Caisse_dEpargne</t>
  </si>
  <si>
    <t>CHRS_centre_dhebergement_et_de_reinsertion_sociale</t>
  </si>
  <si>
    <t>Centre_accueil_demandeur_dasile</t>
  </si>
  <si>
    <t>Centre_dispensant_des_formations_dapprentissage_agricole</t>
  </si>
  <si>
    <t>Centre_provisoire_dhebergement</t>
  </si>
  <si>
    <t>Ecoles_denseignement_superieur_agricole</t>
  </si>
  <si>
    <t>Enfants_handicapes_hebergement</t>
  </si>
  <si>
    <t>Enfants_handicapes_services_a_domicile_ou_ambulatoires</t>
  </si>
  <si>
    <t>Laboratoire_danalyses_et_de_biologie_medicales</t>
  </si>
  <si>
    <t>Lycee_denseignement_professionnel</t>
  </si>
  <si>
    <t>Magasin_darticles_de_sports_et_de_loisirs</t>
  </si>
  <si>
    <t>Magasin_doptique</t>
  </si>
  <si>
    <t>Magasin_delectromenager_et_de_materiel_audiovideo</t>
  </si>
  <si>
    <t>Magasin_dequipements_du_foyer</t>
  </si>
  <si>
    <t>Port_de_plaisance_Mouillage</t>
  </si>
  <si>
    <t>SEP_Section_enseignement_professionnel</t>
  </si>
  <si>
    <t>SGT_Section_enseignement_general_et_technologique</t>
  </si>
  <si>
    <t>Nb._dacheteurs_actifs_pour_un_bien_en_vente_(I.T.I.)</t>
  </si>
  <si>
    <t>loyer_mensuel_par_m2_2_pieces</t>
  </si>
  <si>
    <t>loyer_mensuel_par_m2_3_pieces</t>
  </si>
  <si>
    <t>loyer_mensuel_par_m2_4_pieces_et_+</t>
  </si>
  <si>
    <t>loyer_mensuel_par_m2_Studio</t>
  </si>
  <si>
    <t>loyer_mensuel_par_m2_Tous_type_de_bien</t>
  </si>
  <si>
    <t>Cata_Nat_Chocs_mecaniques_lies_a_laction_des_vagues</t>
  </si>
  <si>
    <t>Inondation_Par_remontees_de_nappes_naturelles</t>
  </si>
  <si>
    <t>Inondation_Par_ruissellement_et_coulee_de_boue</t>
  </si>
  <si>
    <t>Inondation_Par_submersion_marine</t>
  </si>
  <si>
    <t>Inondation_Par_une_crue_a_debordement_lent_de_cours_d?eau</t>
  </si>
  <si>
    <t>Inondation_Par_une_crue_torrentielle_ou_a_montee_rapide_de_cours_d?eau</t>
  </si>
  <si>
    <t>Mouvement_de_terrain_Anvancee_dunaire</t>
  </si>
  <si>
    <t>Mouvement_de_terrain_Recul_du_trait_de_cote_et_de_falaises</t>
  </si>
  <si>
    <t>Mouvement_de_terrain_Tassements_differentiels</t>
  </si>
  <si>
    <t>Risque_industriel_Effet_de_surpression</t>
  </si>
  <si>
    <t>Risque_industriel_Effet_thermique</t>
  </si>
  <si>
    <t>Risque_industriel_Effet_toxique</t>
  </si>
  <si>
    <t>Agence de travail temporaire</t>
  </si>
  <si>
    <t>Agence de voyages</t>
  </si>
  <si>
    <t>Agence postale</t>
  </si>
  <si>
    <t>Autre formation post bac non universitaire</t>
  </si>
  <si>
    <t>Autres formations continues</t>
  </si>
  <si>
    <t>Bassin de natation</t>
  </si>
  <si>
    <t>Boucherie charcuterie</t>
  </si>
  <si>
    <t>Bureau de poste</t>
  </si>
  <si>
    <t>Centre dispensant de la formation continue agricole</t>
  </si>
  <si>
    <t>Conseil de prudhommes (CPH)</t>
  </si>
  <si>
    <t>Direction Departementale des Finances Publiques (DDFIP)</t>
  </si>
  <si>
    <t>Direction Generale des Finances Publiques (DGFIP)</t>
  </si>
  <si>
    <t>Direction Regionale des Finances Publiques (DRFIP)</t>
  </si>
  <si>
    <t>Droguerie quincaillerie bricolage</t>
  </si>
  <si>
    <t>Ecole de conduite</t>
  </si>
  <si>
    <t>Formation commerce</t>
  </si>
  <si>
    <t>Formation sante</t>
  </si>
  <si>
    <t>Horlogerie Bijouterie</t>
  </si>
  <si>
    <t>Information touristique</t>
  </si>
  <si>
    <t>Institut universitaire</t>
  </si>
  <si>
    <t>Librairie papeterie journaux</t>
  </si>
  <si>
    <t>Location automobiles utilitaires legers</t>
  </si>
  <si>
    <t>Magasin de chaussures</t>
  </si>
  <si>
    <t>Magasin de meubles</t>
  </si>
  <si>
    <t>Maison de justice et du droit</t>
  </si>
  <si>
    <t>Menuisier charpentier serrurier</t>
  </si>
  <si>
    <t>Parcours sportif/sante</t>
  </si>
  <si>
    <t>Plateaux et terrains de jeux exterieurs</t>
  </si>
  <si>
    <t>Plombier couvreur chauffagiste</t>
  </si>
  <si>
    <t>Port de plaisance Mouillage</t>
  </si>
  <si>
    <t>Relais poste</t>
  </si>
  <si>
    <t>Restaurant universitaire</t>
  </si>
  <si>
    <t>Reparation automobile et de materiel agricole</t>
  </si>
  <si>
    <t>Residence universitaire</t>
  </si>
  <si>
    <t>SEP Section enseignement professionnel</t>
  </si>
  <si>
    <t>Salles de combat</t>
  </si>
  <si>
    <t>Salles de remise en forme</t>
  </si>
  <si>
    <t>Salles multisports (gymnase)</t>
  </si>
  <si>
    <t>Salles non specialisees</t>
  </si>
  <si>
    <t>Salles specialisees</t>
  </si>
  <si>
    <t>Section Technicien Superieur Classe Preparatoire aux Grandes Ecoles</t>
  </si>
  <si>
    <t>Sports de glace</t>
  </si>
  <si>
    <t>Sports nautiques</t>
  </si>
  <si>
    <t>Structures psychiatriques en ambulatoire</t>
  </si>
  <si>
    <t>Terrain de golf</t>
  </si>
  <si>
    <t>Terrains de grands jeux</t>
  </si>
  <si>
    <t>Transfusion sanguine</t>
  </si>
  <si>
    <t>Tribunal dinstance (TI)</t>
  </si>
  <si>
    <t>Tribunal de commerce (TCO)</t>
  </si>
  <si>
    <t>Tribunal de grande instance (TGI)</t>
  </si>
  <si>
    <t>Ecole_dingenieurs</t>
  </si>
  <si>
    <t>Ecole maternelle</t>
  </si>
  <si>
    <t>Electricien</t>
  </si>
  <si>
    <t>Equipement_de_cyclisme</t>
  </si>
  <si>
    <t>Equipement de cyclisme</t>
  </si>
  <si>
    <t>Etablissement_psychiatrique_avec_hebergement</t>
  </si>
  <si>
    <t>Etablissement psychiatrique avec hebergement</t>
  </si>
  <si>
    <t>Etablissement_sante_court_sejour</t>
  </si>
  <si>
    <t>Etablissement_sante_long_sejour</t>
  </si>
  <si>
    <t>Etablissement_sante_moyen_sejour</t>
  </si>
  <si>
    <t>Personnes âgees foyers restaurants</t>
  </si>
  <si>
    <t>Personnes âgees services daide</t>
  </si>
  <si>
    <t>Personnes âgees soins a domicile</t>
  </si>
  <si>
    <t>Plâtrier peintre</t>
  </si>
  <si>
    <t>Theâtre</t>
  </si>
  <si>
    <t>Sage femme</t>
  </si>
  <si>
    <t>Police et Justice</t>
  </si>
  <si>
    <t>Emploi et Formation continue</t>
  </si>
  <si>
    <t>Pompes funèbres</t>
  </si>
  <si>
    <t>Bureaux de poste</t>
  </si>
  <si>
    <t>Contrôle technique automobile</t>
  </si>
  <si>
    <t>Maçon</t>
  </si>
  <si>
    <t>Artisans</t>
  </si>
  <si>
    <t>Agence immobilière</t>
  </si>
  <si>
    <t>Blanchisserie-Teinturerie</t>
  </si>
  <si>
    <t>Soins de beauté</t>
  </si>
  <si>
    <t>Supermarché</t>
  </si>
  <si>
    <t>Magasin de vêtements</t>
  </si>
  <si>
    <t>Magasin de revêtements murs et sols</t>
  </si>
  <si>
    <t>Transport</t>
  </si>
  <si>
    <t>Collège</t>
  </si>
  <si>
    <t>Autres enseignements supérieurs</t>
  </si>
  <si>
    <t>Etablissements hospitaliers</t>
  </si>
  <si>
    <t>Centre de santé</t>
  </si>
  <si>
    <t>Centre médecine préventive</t>
  </si>
  <si>
    <t>Maison de santé pluridisciplinaire</t>
  </si>
  <si>
    <t>Médecin omnipraticien</t>
  </si>
  <si>
    <t>Spécialiste en cardiologie</t>
  </si>
  <si>
    <t>Spécialiste en psychiatrie</t>
  </si>
  <si>
    <t>Spécialiste en ophtalmologie</t>
  </si>
  <si>
    <t>Spécialiste en pneumologie</t>
  </si>
  <si>
    <t>Spécialiste en stomatologie</t>
  </si>
  <si>
    <t>Chirurgien dentiste</t>
  </si>
  <si>
    <t>Audio prothésiste</t>
  </si>
  <si>
    <t>Ergothérapeute</t>
  </si>
  <si>
    <t>Accueil des personnes agées</t>
  </si>
  <si>
    <t>Aide sociale</t>
  </si>
  <si>
    <t>Adultes handicapés : hébergement</t>
  </si>
  <si>
    <t>Adultes handicapés : services</t>
  </si>
  <si>
    <t>Travail protégé</t>
  </si>
  <si>
    <t>Autres établissements pour adultes et familles en difficulté</t>
  </si>
  <si>
    <t>Aéroport</t>
  </si>
  <si>
    <t>Sports et loisirs</t>
  </si>
  <si>
    <t>Centre équestre</t>
  </si>
  <si>
    <t>Athlétisme</t>
  </si>
  <si>
    <t>Baignade aménagée</t>
  </si>
  <si>
    <t>Boucle de randonnée</t>
  </si>
  <si>
    <t>Culture</t>
  </si>
  <si>
    <t>Tourisme</t>
  </si>
  <si>
    <t>Hôtel homologué</t>
  </si>
  <si>
    <t>Camping homologué</t>
  </si>
  <si>
    <t>P13 024</t>
  </si>
  <si>
    <t>P13 25etplus</t>
  </si>
  <si>
    <t>Blancs et nuls</t>
  </si>
  <si>
    <t>Pourcentage Candidat 1er tour</t>
  </si>
  <si>
    <t>Pourcentage Candidat 2eme tour</t>
  </si>
  <si>
    <t>Garde enfant âge préscolaire</t>
  </si>
  <si>
    <t>Magasin électromenager et de matériel audiovideo</t>
  </si>
  <si>
    <t>Magasin optique</t>
  </si>
  <si>
    <t>Magasin de sports et de loisirs</t>
  </si>
  <si>
    <t>Magasin équipements du foyer</t>
  </si>
  <si>
    <t>Roller Skate Velo bicross ou freestyle</t>
  </si>
  <si>
    <t>Etablissement santé court séjour</t>
  </si>
  <si>
    <t>Etablissement santé long séjour</t>
  </si>
  <si>
    <t>Etablissement santé moyen séjour</t>
  </si>
  <si>
    <t>Spécialiste en dermatologie venereologie</t>
  </si>
  <si>
    <t>Spécialiste en gastroenterologie</t>
  </si>
  <si>
    <t>Spécialiste en gynecologie medicale</t>
  </si>
  <si>
    <t>Spécialiste en gynecologie obstetrique</t>
  </si>
  <si>
    <t>Spécialiste en otorhinolaryngologie</t>
  </si>
  <si>
    <t>Spécialiste en pediatrie</t>
  </si>
  <si>
    <t>Spécialiste en radiodiagnostic et imagerie medicale</t>
  </si>
  <si>
    <t>SGT Section enseignement général et technologique</t>
  </si>
  <si>
    <t>Ecole ingénieurs</t>
  </si>
  <si>
    <t>Part des personnes de 15 à 64 ans</t>
  </si>
  <si>
    <t>Part des personnes de 55 à 64 ans</t>
  </si>
  <si>
    <t>Part des personnes de 15 ans ou plus</t>
  </si>
  <si>
    <t>Part des personnes de 55 à 79 ans</t>
  </si>
  <si>
    <t>Part des personnes de 80 ans ou plus</t>
  </si>
  <si>
    <t>Part des personnes des ménages de 15 ans ou plus</t>
  </si>
  <si>
    <t>Part des personnes des ménages de 15 à 24 ans</t>
  </si>
  <si>
    <t>Part des personnes des ménages de 25 à 54 ans</t>
  </si>
  <si>
    <t>Part des personnes des ménages de 55 à 79 ans</t>
  </si>
  <si>
    <t>Part des personnes des ménages de 80 ans ou plus</t>
  </si>
  <si>
    <t>Part des personnes de 15 ans ou plus vivant seules</t>
  </si>
  <si>
    <t>Part des personnes de 15 à 24 ans vivant seules</t>
  </si>
  <si>
    <t>Part des personnes de 25 à 54 ans vivant seules</t>
  </si>
  <si>
    <t>Part des personnes de 55 à 79 ans vivant seules</t>
  </si>
  <si>
    <t>Part des personnes de 80 ans ou plus vivant seules</t>
  </si>
  <si>
    <t>Part des personnes de 15 ans ou plus mariées</t>
  </si>
  <si>
    <t>Part des personnes de 15 ans ou plus non mariées</t>
  </si>
  <si>
    <t>Part des personnes de 2 à 5 ans</t>
  </si>
  <si>
    <t>Part des personnes de 6 à 10 ans</t>
  </si>
  <si>
    <t>Part des personnes de 11 à 14 ans</t>
  </si>
  <si>
    <t>Part des personnes de 15 à 17 ans</t>
  </si>
  <si>
    <t>Part des personnes de 18 à 24 ans</t>
  </si>
  <si>
    <t>Part des personnes de 25 à 29 ans</t>
  </si>
  <si>
    <t>Part des personnes de 30 ans ou plus</t>
  </si>
  <si>
    <t>Part des personnes de 15 à 24 ans</t>
  </si>
  <si>
    <t>Part des personnes de 25 à 54 ans</t>
  </si>
  <si>
    <t>Âges</t>
  </si>
  <si>
    <t>Etat matrimonial</t>
  </si>
  <si>
    <t>Part des personnes de 0 à 2 ans</t>
  </si>
  <si>
    <t>Part des personnes de 3 à 5 ans</t>
  </si>
  <si>
    <t>Part des personnes de 11 à 17 ans</t>
  </si>
  <si>
    <t>Part des personnes de 25 à 39 ans</t>
  </si>
  <si>
    <t>Part des personnes de 40 à 54 ans</t>
  </si>
  <si>
    <t>Part des personnes de 65 à 79 ans</t>
  </si>
  <si>
    <t>Part des personnes de 0 à 14 ans</t>
  </si>
  <si>
    <t>Part des personnes de 15 à 29 ans</t>
  </si>
  <si>
    <t>Part des personnes de 30 à 44 ans</t>
  </si>
  <si>
    <t>Part des personnes de 45 à 59 ans</t>
  </si>
  <si>
    <t>Part des personnes de 60 à 74 ans</t>
  </si>
  <si>
    <t>Part des personnes de 75 ans ou plus</t>
  </si>
  <si>
    <t>Part des personnes de 0 à 19 ans</t>
  </si>
  <si>
    <t>Part des personnes de 20 à 64 ans</t>
  </si>
  <si>
    <t>Part des personnes de 65 ans ou plus</t>
  </si>
  <si>
    <t>Part des hommes</t>
  </si>
  <si>
    <t>Part des femmes</t>
  </si>
  <si>
    <t>Part des personnes de nationalité française</t>
  </si>
  <si>
    <t>Part des personnes étrangères</t>
  </si>
  <si>
    <t>Part des personnes immigrées</t>
  </si>
  <si>
    <t>Hommes/Femmes</t>
  </si>
  <si>
    <t>Etrangers/Immigrés</t>
  </si>
  <si>
    <t>Taux de chômage en 2006</t>
  </si>
  <si>
    <t>Taux de chômage en 2012</t>
  </si>
  <si>
    <t>Politique</t>
  </si>
  <si>
    <t>Elections présidentielles 2012</t>
  </si>
  <si>
    <t>Suffrages exprimés</t>
  </si>
  <si>
    <t>Candidat arrivé en tête au 1er tour</t>
  </si>
  <si>
    <t>Candidat arrivé en tête au 2ème tour</t>
  </si>
  <si>
    <t>Ministère de l'Intérieur</t>
  </si>
  <si>
    <t>Ministère des Finances</t>
  </si>
  <si>
    <t>Risque Nucléaire</t>
  </si>
  <si>
    <t>Numérique</t>
  </si>
  <si>
    <t>Agence_immobiliere</t>
  </si>
  <si>
    <t>Controle_technique_automobile</t>
  </si>
  <si>
    <t>Centre_de_formation_dapprentis_hors_agriculture</t>
  </si>
  <si>
    <t>Classe_maternelle_de_regroupement_pedagogique_intercommunal_RPI_disperse</t>
  </si>
  <si>
    <t>Classe_elementaire_de_regroupement_pedagogique_intercommunal_RPI_disperse</t>
  </si>
  <si>
    <t>Conseil_de_prudhommes_CPH</t>
  </si>
  <si>
    <t>Cour_dappel_CA</t>
  </si>
  <si>
    <t>Direction_Departementale_des_Finances_Publiques_DDFIP</t>
  </si>
  <si>
    <t>Direction_Generale_des_Finances_Publiques_DGFIP</t>
  </si>
  <si>
    <t>Direction_Regionale_des_Finances_Publiques_DRFIP</t>
  </si>
  <si>
    <t>Entreprise_generale_du_btiment</t>
  </si>
  <si>
    <t>Garde_denfant_dge_prescolaire</t>
  </si>
  <si>
    <t>Gare_avec_desserte_train_a_grande_vitesse_TAGV</t>
  </si>
  <si>
    <t>Gare_sans_desserte_train_a_grande_vitesse_TAGV</t>
  </si>
  <si>
    <t>Hotel_homologue</t>
  </si>
  <si>
    <t>Lycee_denseignement_general_et_ou_technologique</t>
  </si>
  <si>
    <t>Lycee_technique_et_ou_professionnel_agricole</t>
  </si>
  <si>
    <t>Macon</t>
  </si>
  <si>
    <t>Parcours_sportif_sante</t>
  </si>
  <si>
    <t>Personnes_gees_foyers_restaurants</t>
  </si>
  <si>
    <t>Personnes_gees_hebergement</t>
  </si>
  <si>
    <t>Personnes_gees_services_daide</t>
  </si>
  <si>
    <t>Personnes_gees_soins_a_domicile</t>
  </si>
  <si>
    <t>Pltrier_peintre</t>
  </si>
  <si>
    <t>Pompes_funebres</t>
  </si>
  <si>
    <t>Reseau_de_proximite_Pole_Emploi</t>
  </si>
  <si>
    <t>Reseau_partenarial_Pole_Emploi</t>
  </si>
  <si>
    <t>Reseau_specialise_Pole_Emploi</t>
  </si>
  <si>
    <t>Salles_multisports_gymnase</t>
  </si>
  <si>
    <t>Thetre</t>
  </si>
  <si>
    <t>Tribunal_dinstance_TI</t>
  </si>
  <si>
    <t>Tribunal_de_commerce_TCO</t>
  </si>
  <si>
    <t>Tribunal_de_grande_instance_TGI</t>
  </si>
  <si>
    <t>Reseau partenarial Pôle Emploi</t>
  </si>
  <si>
    <t>Magasin_de_revetements_murs_et_sols</t>
  </si>
  <si>
    <t>Magasin_de_vetements</t>
  </si>
  <si>
    <t>Etablissements scolaires</t>
  </si>
  <si>
    <t>Aide sociale à l enfance : action éducative</t>
  </si>
  <si>
    <t>Aide sociale à l enfance : hébergement</t>
  </si>
  <si>
    <t>CHRS : centre d hébergement et de réinsertion sociale</t>
  </si>
  <si>
    <t>Centre de formation d apprentis (hors agriculture)</t>
  </si>
  <si>
    <t>Centre dispensant des formations d apprentissage agricole</t>
  </si>
  <si>
    <t>Centre provisoire d hébergement</t>
  </si>
  <si>
    <t>Part des artisans, commerçants, chefs d entreprise actifs de 15 à 64 ans</t>
  </si>
  <si>
    <t>Nombre d inscrits sur la liste électorale</t>
  </si>
  <si>
    <t>Marché immobilier</t>
  </si>
  <si>
    <t>Loyer_mensuel__m2_max</t>
  </si>
  <si>
    <t>Loyer_mensuel__m2_min</t>
  </si>
  <si>
    <t>Loyer_mensuel__m2_moy</t>
  </si>
  <si>
    <t>Données socioéconomiques</t>
  </si>
  <si>
    <t>Données sociodémographiques</t>
  </si>
  <si>
    <t>Niveau de diplôme</t>
  </si>
  <si>
    <t>BEPC/Brevet (Part de la population non scolarisée de 15 ans ou plus)</t>
  </si>
  <si>
    <t>Enseignement supérieur (Part de la population non scolarisée de 15 ans ou plus)</t>
  </si>
  <si>
    <t>Baccalauréat (Part de la population non scolarisée de 15 ans ou plus)</t>
  </si>
  <si>
    <t>CAP ou BEP (Part de la population non scolarisée de 15 ans ou plus)</t>
  </si>
  <si>
    <t>Salons de coiffure</t>
  </si>
  <si>
    <t>Reseau de proximité Pôle Emploi</t>
  </si>
  <si>
    <t>Reseau specialisé Pôle Emploi</t>
  </si>
  <si>
    <t>Maternité</t>
  </si>
  <si>
    <t>Masseur kinésitherapeute</t>
  </si>
  <si>
    <t>Musée</t>
  </si>
  <si>
    <t>Lycée technique et/ou professionnel agricole</t>
  </si>
  <si>
    <t>Lycée enseignement professionnel</t>
  </si>
  <si>
    <t>Lycée enseignement général et/ou technologique</t>
  </si>
  <si>
    <t>Hospitalisation à domicile</t>
  </si>
  <si>
    <t>Formation aux métiers du sport</t>
  </si>
  <si>
    <t>Enfants handicapés services à domicile ou ambulatoires</t>
  </si>
  <si>
    <t>Classe élémentaire RPI</t>
  </si>
  <si>
    <t>Classe maternelle RPI</t>
  </si>
  <si>
    <t>Cinéma</t>
  </si>
  <si>
    <t>P13_voiture_part</t>
  </si>
  <si>
    <t>Part des ménages possédant au moins une voiture</t>
  </si>
  <si>
    <t>Factor_1</t>
  </si>
  <si>
    <t>Factor_2</t>
  </si>
  <si>
    <t>Taux taxe foncière non bâti</t>
  </si>
  <si>
    <t>Taux taxe foncière bâti</t>
  </si>
  <si>
    <t>Taux cotisation foncière des entreprises</t>
  </si>
  <si>
    <t>Part des locaux éligibles à la fibre</t>
  </si>
  <si>
    <t>Toutes technologies éligibles (Câble, DSL, Fibre) (Part des locaux)</t>
  </si>
  <si>
    <t>Toutes technologies (Câble, DSL, Fibre) 3 Mbits (Part des locaux)</t>
  </si>
  <si>
    <t>Toutes technologies (Câble, DSL, Fibre) 8 Mbits (Part des locaux)</t>
  </si>
  <si>
    <t>Toutes technologies (Câble, DSL, Fibre) 30 Mbits (Part des locaux)</t>
  </si>
  <si>
    <t>Toutes technologies (Câble, DSL, Fibre) 100 Mbits (Part des locaux)</t>
  </si>
  <si>
    <t>Produits surgelés</t>
  </si>
  <si>
    <t>Hébergement des personnes âgées</t>
  </si>
  <si>
    <t>Grande surface de bricolage</t>
  </si>
  <si>
    <t>Ecole élémentaire</t>
  </si>
  <si>
    <t>Historique des catastrophes naturelles</t>
  </si>
  <si>
    <t>Répartition Etrangers/Immigrés</t>
  </si>
  <si>
    <t>Répartition Hommes/Femmes</t>
  </si>
  <si>
    <t>Taux de chômage des jeunes en 2013 (15-24 ans)</t>
  </si>
  <si>
    <t>Taux de chômage des jeunes en 2006 (15-24 ans)</t>
  </si>
  <si>
    <t>Taux de chômage des jeunes en 2012 (15-24 ans)</t>
  </si>
  <si>
    <t>Impôts Locaux</t>
  </si>
  <si>
    <t>Web-Scrapping (Ministère de l'Ecologie)</t>
  </si>
  <si>
    <t>Observatoire France Très Haut Débit</t>
  </si>
  <si>
    <t>P13_POP1524</t>
  </si>
  <si>
    <t>P13_POP2554</t>
  </si>
  <si>
    <t>P13_RSECOCC_part</t>
  </si>
  <si>
    <t>P13_LOGVAC_part</t>
  </si>
  <si>
    <t>P13_RP_LOCHLMV_part</t>
  </si>
  <si>
    <t>P13_RP_PROP_part</t>
  </si>
  <si>
    <t>P13_RP_VOIT1P_part</t>
  </si>
  <si>
    <t>P13_ETUD1564_part</t>
  </si>
  <si>
    <t>P13_RETR1564_part</t>
  </si>
  <si>
    <t>EFF_TOT</t>
  </si>
  <si>
    <t>EFF_AZ</t>
  </si>
  <si>
    <t>EFF_BE</t>
  </si>
  <si>
    <t>EFF_FZ</t>
  </si>
  <si>
    <t>EFF_GU</t>
  </si>
  <si>
    <t>EFF_OQ</t>
  </si>
  <si>
    <t>ET_TOT</t>
  </si>
  <si>
    <t>ET_AZ</t>
  </si>
  <si>
    <t>ET_BE</t>
  </si>
  <si>
    <t>ET_FZ</t>
  </si>
  <si>
    <t>ET_GU</t>
  </si>
  <si>
    <t>ET_OQ</t>
  </si>
  <si>
    <t>Part des personnes âgées de 15 à 24 ans</t>
  </si>
  <si>
    <t>Part des personnes âgées de 25 à 54 ans</t>
  </si>
  <si>
    <t>Effectif salarié total</t>
  </si>
  <si>
    <t>Effectif salarié par secteur</t>
  </si>
  <si>
    <t>Elections départementales 2015</t>
  </si>
  <si>
    <t>Elections régionales 2015</t>
  </si>
  <si>
    <t>Effectif salarié : Agriculture, sylviculture, pêche</t>
  </si>
  <si>
    <t>Effectif salarié : Industrie</t>
  </si>
  <si>
    <t>Effectif salarié : Construction</t>
  </si>
  <si>
    <t>Effectif salarié : Commerce, transports et services divers</t>
  </si>
  <si>
    <t>Effectif salarié : Administration publique, enseignement, santé et action sociale</t>
  </si>
  <si>
    <t>Part des étudiants</t>
  </si>
  <si>
    <t>Part des retraités</t>
  </si>
  <si>
    <t>Tous secteurs confondus</t>
  </si>
  <si>
    <t>Liste_gagnante_Dep15</t>
  </si>
  <si>
    <t>Liste_tete_Dep15</t>
  </si>
  <si>
    <t>Départementales : Liste en tête au premier tour</t>
  </si>
  <si>
    <t>Départementales : Liste gagnante au second tour</t>
  </si>
  <si>
    <t>Régionales : Liste gagnante au second tour</t>
  </si>
  <si>
    <t>Régionales : Liste en tête au premier tour</t>
  </si>
  <si>
    <t>Liste_gagnante_Reg15</t>
  </si>
  <si>
    <t>Liste_tete_Reg15</t>
  </si>
  <si>
    <t>Factor_3</t>
  </si>
  <si>
    <t>Factor_4</t>
  </si>
  <si>
    <t>Factor_5</t>
  </si>
  <si>
    <t>Factor_6</t>
  </si>
  <si>
    <t>UU1999</t>
  </si>
  <si>
    <t>P13_POP_part</t>
  </si>
  <si>
    <t>P13_ACTOCC15P_ILT1_part</t>
  </si>
  <si>
    <t>P13_ACTOCC15P_ILT2P_part</t>
  </si>
  <si>
    <t>P13_ACTOCC15P_ILT2_part</t>
  </si>
  <si>
    <t>P13_ACTOCC15P_ILT3_part</t>
  </si>
  <si>
    <t>C13_ACTOCC15P_PAS_part</t>
  </si>
  <si>
    <t>C13_ACTOCC15P_MAR_part</t>
  </si>
  <si>
    <t>C13_ACTOCC15P_DROU_part</t>
  </si>
  <si>
    <t>C13_ACTOCC15P_VOIT_part</t>
  </si>
  <si>
    <t>C13_ACTOCC15P_TCOM_part</t>
  </si>
  <si>
    <t>P13_SAL15P_CDI_part</t>
  </si>
  <si>
    <t>P13_SAL15P_CDD_part</t>
  </si>
  <si>
    <t>P13_SAL15P_INTERIM_part</t>
  </si>
  <si>
    <t>P13_SAL15P_EMPAID_part</t>
  </si>
  <si>
    <t>P13_SAL15P_APPR_part</t>
  </si>
  <si>
    <t>CODE_INSEE</t>
  </si>
  <si>
    <t>COMMUNE</t>
  </si>
  <si>
    <t>NOM_IRIS</t>
  </si>
  <si>
    <t>Commune</t>
  </si>
  <si>
    <t>NOM_COMMUNE</t>
  </si>
  <si>
    <t>CODE_DEPT</t>
  </si>
  <si>
    <t>Mouvement_de_terrain_Affaissements_et_effondrements_lies_aux_cavites_souterraines_hors_mines</t>
  </si>
  <si>
    <t>Part des actifs occupés qui travaillent dans la commune de résidence</t>
  </si>
  <si>
    <t>Part des actifs occupés qui travaillent dans une autre commune que la commune de résidence</t>
  </si>
  <si>
    <t>Part des actifs occupés qui travaillent dans une autre commune située dans le département de résidence</t>
  </si>
  <si>
    <t>Part des actifs occupés qui travaillent dans une autre commune située dans un autre département de la région de résidence</t>
  </si>
  <si>
    <t>A pied (% des actifs occupés)</t>
  </si>
  <si>
    <t>Pas de moyen de transport utilisé (% des actifs occupés)</t>
  </si>
  <si>
    <t>Deux roues (% des actifs occupés)</t>
  </si>
  <si>
    <t>Voiture ou camion (% des actifs occupés)</t>
  </si>
  <si>
    <t>Transports en commun (% des actifs occupés)</t>
  </si>
  <si>
    <t>Situation du lieu de travail par rapport au lieu de résidence</t>
  </si>
  <si>
    <t>Type de contrat de travail</t>
  </si>
  <si>
    <t>CDI ou fonctionnaire (% des personnes salariées)</t>
  </si>
  <si>
    <t>CDD (% des personnes salariées)</t>
  </si>
  <si>
    <t>Intérim (% des personnes salariées)</t>
  </si>
  <si>
    <t>Emploi aidé (% des personnes salariées)</t>
  </si>
  <si>
    <t>Apprentissage ou stage (% des personnes salariées)</t>
  </si>
  <si>
    <t>Nb_ent_immatriculees_2016</t>
  </si>
  <si>
    <t>Entreprises</t>
  </si>
  <si>
    <t>Entreprises immatriculées en 2016</t>
  </si>
  <si>
    <t>rfr_plus_de_100_000</t>
  </si>
  <si>
    <t>rfr_0_a_10_000</t>
  </si>
  <si>
    <t>rfr_10_001_a_12_000</t>
  </si>
  <si>
    <t>rfr_12_001_a_15_000</t>
  </si>
  <si>
    <t>rfr_15_001_a_20_000</t>
  </si>
  <si>
    <t>rfr_20_001_a_30_000</t>
  </si>
  <si>
    <t>rfr_30_001_a_50_000</t>
  </si>
  <si>
    <t>rfr_50_001_a_100_000</t>
  </si>
  <si>
    <t>rfr_Total</t>
  </si>
  <si>
    <t>Revenus</t>
  </si>
  <si>
    <t>rfr_plus_de_100_000_part</t>
  </si>
  <si>
    <t>rfr_0_a_10_000_part</t>
  </si>
  <si>
    <t>rfr_10_001_a_12_000_part</t>
  </si>
  <si>
    <t>rfr_12_001_a_15_000_part</t>
  </si>
  <si>
    <t>rfr_15_001_a_20_000_part</t>
  </si>
  <si>
    <t>rfr_20_001_a_30_000_part</t>
  </si>
  <si>
    <t>rfr_30_001_a_50_000_part</t>
  </si>
  <si>
    <t>rfr_50_001_a_100_000_part</t>
  </si>
  <si>
    <t>Revenu fiscal de référence entre 10 000 et 12 000 € (% des foyers fiscaux)</t>
  </si>
  <si>
    <t>Revenu fiscal de référence entre 12 000 et 15 000 € (% des foyers fiscaux)</t>
  </si>
  <si>
    <t>Revenu fiscal de référence entre 15 000 et 20 000 € (% des foyers fiscaux)</t>
  </si>
  <si>
    <t>Revenu fiscal de référence entre 20 000 et 30 000 € (% des foyers fiscaux)</t>
  </si>
  <si>
    <t>Revenu fiscal de référence entre 30 000 et 50 000 € (% des foyers fiscaux)</t>
  </si>
  <si>
    <t>Revenu fiscal de référence entre 50 000 et 100 000 € (% des foyers fiscaux)</t>
  </si>
  <si>
    <t>Nombre de foyers fiscaux total</t>
  </si>
  <si>
    <t>Revenu fiscal de référence entre 10 000 et 12 000 € (nombre de foyers fiscaux)</t>
  </si>
  <si>
    <t>Revenu fiscal de référence entre 12 000 et 15 000 € (nombre de foyers fiscaux)</t>
  </si>
  <si>
    <t>Revenu fiscal de référence entre 15 000 et 20 000 € (nombre de foyers fiscaux)</t>
  </si>
  <si>
    <t>Revenu fiscal de référence entre 20 000 et 30 000 € (nombre de foyers fiscaux)</t>
  </si>
  <si>
    <t>Revenu fiscal de référence entre 30 000 et 50 000 € (nombre de foyers fiscaux)</t>
  </si>
  <si>
    <t>Revenu fiscal de référence entre 50 000 et 100 000 € (nombre de foyers fiscaux)</t>
  </si>
  <si>
    <t>Revenu fiscal de référence &gt; 100 000 € (nombre de foyers fiscaux)</t>
  </si>
  <si>
    <t>Revenu fiscal de référence &lt; 10 000 € (nombre de foyers fiscaux)</t>
  </si>
  <si>
    <t>Revenu fiscal de référence sup. à 100 000 € (% des foyers fiscaux)</t>
  </si>
  <si>
    <t>Revenu fiscal de référence inf. à 10 000 € (% des foyers fiscaux)</t>
  </si>
  <si>
    <t>Charges</t>
  </si>
  <si>
    <t>Services Eau France</t>
  </si>
  <si>
    <t>Tarif eau potable (en € par mètre cube pour 120 mètres cubes)</t>
  </si>
  <si>
    <t>D102_0</t>
  </si>
  <si>
    <t>Commissariat de Police</t>
  </si>
  <si>
    <t>C13_COUPAENF_part</t>
  </si>
  <si>
    <t>C13_FAMMONO_part</t>
  </si>
  <si>
    <t>C13_COUPSENF_part</t>
  </si>
  <si>
    <t>C13_NE24F0_part</t>
  </si>
  <si>
    <t>C13_NE24F1_part</t>
  </si>
  <si>
    <t>C13_NE24F2_part</t>
  </si>
  <si>
    <t>C13_NE24F3_part</t>
  </si>
  <si>
    <t>C13_NE24F4P_part</t>
  </si>
  <si>
    <t>Nb_dacheteurs_actifs_pour_un_bien_en_vente_I_T_I_</t>
  </si>
  <si>
    <t>dentistes_APL</t>
  </si>
  <si>
    <t>gynecos_APL</t>
  </si>
  <si>
    <t>infirmiers_APL</t>
  </si>
  <si>
    <t>kines_APL</t>
  </si>
  <si>
    <t>medecins_40ans_APL</t>
  </si>
  <si>
    <t>medecins_APL</t>
  </si>
  <si>
    <t>opthmalmos_APL</t>
  </si>
  <si>
    <t>pediatres_APL</t>
  </si>
  <si>
    <t>pyschiatres_APL</t>
  </si>
  <si>
    <t>sagefemme_APL</t>
  </si>
  <si>
    <t>Chirurgiens dentistes (Indice APL)</t>
  </si>
  <si>
    <t>Gynécologues libéraux (Indice APL)</t>
  </si>
  <si>
    <t>Infirmiers libéraux (Indice APL)</t>
  </si>
  <si>
    <t>Masseurs-kinésitherapeutes (Indice APL)</t>
  </si>
  <si>
    <t>Médecins généralistes libéraux de moins de 40 ans (Indice APL)</t>
  </si>
  <si>
    <t>Médecins généralistes libéraux (Indice APL)</t>
  </si>
  <si>
    <t>pharmaciens_APL</t>
  </si>
  <si>
    <t>Opthalmologistes libéraux (Indice APL)</t>
  </si>
  <si>
    <t>Pédiatres libéraux (Indice APL)</t>
  </si>
  <si>
    <t>Psychiatres libéraux (Indice APL)</t>
  </si>
  <si>
    <t>Pharmaciens libéraux (Indice APL)</t>
  </si>
  <si>
    <t>Sages-femmes libérales (Indice APL)</t>
  </si>
  <si>
    <t>DREES</t>
  </si>
  <si>
    <t>Equipements de Santé</t>
  </si>
  <si>
    <t>Vétérinaire</t>
  </si>
  <si>
    <t>Un couple avec enfant(s) (% des familles)</t>
  </si>
  <si>
    <t>Famille monoparentale (% des familles)</t>
  </si>
  <si>
    <t>Un couple sans enfant (% des familles)</t>
  </si>
  <si>
    <t>Famille avec 0 enfant de moins de 25 ans (% des familles)</t>
  </si>
  <si>
    <t>1 enfant de moins de 25 ans (% des familles)</t>
  </si>
  <si>
    <t>2 enfants de moins de 25 ans (% des familles)</t>
  </si>
  <si>
    <t>3 enfants de moins de 25 ans (% des familles)</t>
  </si>
  <si>
    <t>4 enfants ou plus de moins de 25 ans (% des familles)</t>
  </si>
  <si>
    <t>Familles</t>
  </si>
  <si>
    <t>Accessibilité potentielle aux médecins (Indice APL de la DREES)</t>
  </si>
  <si>
    <t>nbimplique</t>
  </si>
  <si>
    <t>ttue</t>
  </si>
  <si>
    <t>tbg</t>
  </si>
  <si>
    <t>tbl</t>
  </si>
  <si>
    <t>tindm</t>
  </si>
  <si>
    <t>grav</t>
  </si>
  <si>
    <t>Accidents de la route</t>
  </si>
  <si>
    <t>Nombre_accidents</t>
  </si>
  <si>
    <t>Accidents de la route en 2014</t>
  </si>
  <si>
    <t>Nombre de personnes impliquées en 2014</t>
  </si>
  <si>
    <t>Nombre de morts en 2014</t>
  </si>
  <si>
    <t>Nombre de blessés graves en 2014</t>
  </si>
  <si>
    <t>Nombre de blessés légers en 2014</t>
  </si>
  <si>
    <t>Indice de gravitié cumulée en 2014</t>
  </si>
  <si>
    <t>Maille</t>
  </si>
  <si>
    <t>Web-Scrapping (Logic-immo)</t>
  </si>
  <si>
    <t>Web-Scrapping (Leboncoin)</t>
  </si>
  <si>
    <t>Infogreffe</t>
  </si>
  <si>
    <t>Direction générale des Finances publiques</t>
  </si>
  <si>
    <t xml:space="preserve"> </t>
  </si>
  <si>
    <t>Ecoles enseignement supérieur agricole</t>
  </si>
  <si>
    <t>Enfants handicapés hébergement</t>
  </si>
  <si>
    <t>Enseignement général supérieur privé</t>
  </si>
  <si>
    <t>Entreprise générale du bâtiment</t>
  </si>
  <si>
    <t>Gare avec desserte train à grande vitesse</t>
  </si>
  <si>
    <t>Gare sans desserte train à grande vitesse</t>
  </si>
  <si>
    <t>Hypermarché</t>
  </si>
  <si>
    <t>Supérette</t>
  </si>
  <si>
    <t>Station-Services</t>
  </si>
  <si>
    <t>Equipements de Transport</t>
  </si>
  <si>
    <t>Prix moyen</t>
  </si>
  <si>
    <t>Année de production moyenne</t>
  </si>
  <si>
    <t xml:space="preserve">Nombre de petites annonces </t>
  </si>
  <si>
    <t>L_DCETU</t>
  </si>
  <si>
    <t>L_DCLT</t>
  </si>
  <si>
    <t>L_DCRAN</t>
  </si>
  <si>
    <t>LIBGEO_eleves</t>
  </si>
  <si>
    <t>LIBGEO_actifs</t>
  </si>
  <si>
    <t>LIBGEO_demenagement</t>
  </si>
  <si>
    <t>Mobilité scolaire</t>
  </si>
  <si>
    <t>Mobilité professionnelle</t>
  </si>
  <si>
    <t>Mobilité résidentielle</t>
  </si>
  <si>
    <t>Communes où les résidents sont scolarisés (% des personnes scolarisées résidentes)</t>
  </si>
  <si>
    <t>Communes où les résidents travaillent (% des actifs occupés résidents)</t>
  </si>
  <si>
    <t>Communes de provenance des personnes scolarisées non résidentes (% des personnes scolarisées dans cette commune)</t>
  </si>
  <si>
    <t>Communes de provenance des actifs occupés non résidents (% des actifs occupés de cette commune)</t>
  </si>
  <si>
    <t>Communes vers lesquelles les habitants ont migré durant l'année précédente (% des habitants ayant migré de cette commune)</t>
  </si>
  <si>
    <t>Communes de provenance des habitants ayant emménagé dans cette commune durant l'année précédente (% des habitants ayant migré vers cette commune)</t>
  </si>
  <si>
    <t>CODE_POSTAL</t>
  </si>
  <si>
    <t>P13_024_part</t>
  </si>
  <si>
    <t>etat_davancement_des_Plans_de_Prevention_des_Risques_Naturels_Inondation_2012</t>
  </si>
  <si>
    <t>frequence_des_sinistres_inondation_19952010</t>
  </si>
  <si>
    <t>ratio_moyen_sinistre_a_prime_19952010</t>
  </si>
  <si>
    <t>Departement</t>
  </si>
  <si>
    <t>NOM_DEPARTEMENT</t>
  </si>
  <si>
    <t>flux_part_eleves</t>
  </si>
  <si>
    <t>flux_part_demenagement</t>
  </si>
  <si>
    <t>Nb_Cata_Nat_Inondation</t>
  </si>
  <si>
    <t>Nb_Cata_Nat_Mvmt_Terrain</t>
  </si>
  <si>
    <t>cout_moyen_des_sinistres_inondation_19952010</t>
  </si>
  <si>
    <t>cout_cumule_des_sinistres_inondation_19952010</t>
  </si>
  <si>
    <t>loyer_mensuel_par_m2_4_pieces_et_plus</t>
  </si>
  <si>
    <t>Fréquence des sinistres inondation 1995-2010</t>
  </si>
  <si>
    <t>Ratio moyen sinistre à prime 1995-2010</t>
  </si>
  <si>
    <t>Coût cumulé des sinistres inondation 1995-2010</t>
  </si>
  <si>
    <t>Coût moyen des sinistres inondation 1995-2010</t>
  </si>
  <si>
    <t>1995-2010</t>
  </si>
  <si>
    <t>Observatoire National des Risques Naturels</t>
  </si>
  <si>
    <t>Nb_offres_emploi_022017</t>
  </si>
  <si>
    <t>Nombre d'offres d'emploi au 14 février 2017</t>
  </si>
  <si>
    <t>% des personnes scolarisées qui sont scolarisées dans une autre commune</t>
  </si>
  <si>
    <t>% des personnes résidentes qui ont emménagé il y a moins d'un an</t>
  </si>
  <si>
    <t>Nombre d'inondations</t>
  </si>
  <si>
    <t>Nombre de mouvements de terrain</t>
  </si>
  <si>
    <t>Loyer mensuel par mètre carré pour un 4pièces et plus</t>
  </si>
  <si>
    <t>Chômeurs -&gt; Emploi et chômage</t>
  </si>
  <si>
    <t>Emploi et chômage</t>
  </si>
  <si>
    <t>API Emploi Store</t>
  </si>
  <si>
    <t>Meilleurs Agents</t>
  </si>
  <si>
    <t>Nouvelle catégorie Flux de personnes</t>
  </si>
  <si>
    <t>Web-Scrapping (Meilleurs Agents)</t>
  </si>
  <si>
    <t>superficie</t>
  </si>
  <si>
    <t>Superficie en kilomètres carrés</t>
  </si>
  <si>
    <t>IGN</t>
  </si>
  <si>
    <t>densite_pop</t>
  </si>
  <si>
    <t>INSEE/IGN</t>
  </si>
  <si>
    <t>Densité de population (habitants au kilomètre carré)</t>
  </si>
  <si>
    <t>Marché des voitures occasion</t>
  </si>
  <si>
    <t>nb_annonces</t>
  </si>
  <si>
    <t>prix</t>
  </si>
  <si>
    <t>anneebien</t>
  </si>
  <si>
    <t>Nombre de catastrophes naturelles : Chocs mecaniques liés à l'action des vagues</t>
  </si>
  <si>
    <t>Nombre d'années depuis la dernière catastrophe naturelle</t>
  </si>
  <si>
    <t>Nombre offres Pôle Emploi au 14 février 2017</t>
  </si>
  <si>
    <t>% des personnes résidentes qui ont emménagé il y a moins de 1 an</t>
  </si>
  <si>
    <t>Nombre dentreprises : Administration publique, enseignement, santé et action sociale</t>
  </si>
  <si>
    <t>typ_urb_rural</t>
  </si>
  <si>
    <t>typ_campagne</t>
  </si>
  <si>
    <t>typ_emploi_activite</t>
  </si>
  <si>
    <t>tx_creat_ent</t>
  </si>
  <si>
    <t>tx_survie_ent_5ans</t>
  </si>
  <si>
    <t>potentiel_fin_hab</t>
  </si>
  <si>
    <t>rev_disp_median</t>
  </si>
  <si>
    <t>typ_urbaine</t>
  </si>
  <si>
    <t>flux_part_actifs</t>
  </si>
  <si>
    <t>Typologie Urbain/Rural</t>
  </si>
  <si>
    <t>Typologie Espace/Population/Conditions de vie/</t>
  </si>
  <si>
    <t>Typologie Emploi/Activité</t>
  </si>
  <si>
    <t>Taux de création d'entreprises</t>
  </si>
  <si>
    <t>Taux de survie des entreprises à 5 ans</t>
  </si>
  <si>
    <t>Potentiel financier par habitant</t>
  </si>
  <si>
    <t>Revenu disponible médian (€ par an par UC)</t>
  </si>
  <si>
    <t>Typologie des villes</t>
  </si>
  <si>
    <t>Hébérgement des personnes âgées</t>
  </si>
  <si>
    <t>% des personnes actives qui travaillent dans une autre commune</t>
  </si>
  <si>
    <t>Personnes âgées</t>
  </si>
  <si>
    <t>Typologie des territoires</t>
  </si>
  <si>
    <t>Type IRIS :  Habitat (H), Activité (A), Divers (D), Autre (Z)</t>
  </si>
  <si>
    <t>DATAR - INRA CESAER</t>
  </si>
  <si>
    <t>DGCL</t>
  </si>
  <si>
    <t>DATAR - INSEE</t>
  </si>
  <si>
    <t>Revenu déclaré médian (€ par an par UC)</t>
  </si>
  <si>
    <t>Potentiel financier par habitant (richesse théorique de la commune)</t>
  </si>
  <si>
    <t>rev_decl_median</t>
  </si>
  <si>
    <t>Nombre entreprises : Agriculture, sylviculture, pêche</t>
  </si>
  <si>
    <t>Nombre entreprises : Industrie</t>
  </si>
  <si>
    <t>Nombre entreprises : Construction</t>
  </si>
  <si>
    <t>Nombre entreprises : Commerce, transports et services divers</t>
  </si>
  <si>
    <t>Nombre indemnes en 2014</t>
  </si>
  <si>
    <t>Taux taxe habitation</t>
  </si>
  <si>
    <t>Banque</t>
  </si>
  <si>
    <t>Centre accueil demandeur asile</t>
  </si>
  <si>
    <t>Cour appel (CA)</t>
  </si>
  <si>
    <t>Laboratoire analyses et biologie médicales</t>
  </si>
  <si>
    <t>Avancement des PPRI 2012</t>
  </si>
  <si>
    <t>Taux de création entreprises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</si>
</sst>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0"/>
      <name val="Arial"/>
    </font>
    <font>
      <b/>
      <sz val="8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0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0" borderId="11" xfId="0" applyBorder="1"/>
    <xf numFmtId="0" fontId="16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33" borderId="11" xfId="0" applyFill="1" applyBorder="1" applyAlignment="1">
      <alignment horizontal="center"/>
    </xf>
    <xf numFmtId="0" fontId="16" fillId="0" borderId="12" xfId="0" applyFont="1" applyBorder="1"/>
    <xf numFmtId="0" fontId="16" fillId="0" borderId="0" xfId="0" applyFont="1" applyBorder="1"/>
    <xf numFmtId="0" fontId="16" fillId="0" borderId="0" xfId="0" applyFont="1" applyFill="1" applyBorder="1"/>
    <xf numFmtId="0" fontId="18" fillId="0" borderId="0" xfId="0" applyFont="1" applyAlignment="1">
      <alignment horizontal="left" vertical="center" wrapText="1" indent="1"/>
    </xf>
    <xf numFmtId="0" fontId="16" fillId="0" borderId="1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16" fillId="0" borderId="15" xfId="0" applyFont="1" applyBorder="1" applyAlignment="1">
      <alignment horizontal="center" wrapText="1"/>
    </xf>
    <xf numFmtId="0" fontId="0" fillId="0" borderId="16" xfId="0" applyBorder="1"/>
    <xf numFmtId="0" fontId="16" fillId="0" borderId="17" xfId="0" applyFont="1" applyBorder="1" applyAlignment="1">
      <alignment horizont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en hypertexte_ClassRef" xfId="43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0" formatCode="General"/>
      <fill>
        <patternFill>
          <fgColor theme="0"/>
          <bgColor theme="8" tint="0.59996337778862885"/>
        </patternFill>
      </fill>
    </dxf>
    <dxf>
      <fill>
        <patternFill>
          <bgColor theme="9" tint="0.39994506668294322"/>
        </patternFill>
      </fill>
    </dxf>
    <dxf>
      <numFmt numFmtId="0" formatCode="General"/>
      <fill>
        <patternFill>
          <fgColor theme="0"/>
          <bgColor theme="8" tint="0.59996337778862885"/>
        </patternFill>
      </fill>
    </dxf>
    <dxf>
      <fill>
        <patternFill>
          <bgColor theme="9" tint="0.39994506668294322"/>
        </patternFill>
      </fill>
    </dxf>
    <dxf>
      <numFmt numFmtId="0" formatCode="General"/>
      <fill>
        <patternFill>
          <fgColor theme="0"/>
          <bgColor theme="8" tint="0.59996337778862885"/>
        </patternFill>
      </fill>
    </dxf>
    <dxf>
      <fill>
        <patternFill>
          <bgColor theme="9" tint="0.39994506668294322"/>
        </patternFill>
      </fill>
    </dxf>
    <dxf>
      <numFmt numFmtId="0" formatCode="General"/>
      <fill>
        <patternFill>
          <fgColor theme="0"/>
          <bgColor theme="8" tint="0.59996337778862885"/>
        </patternFill>
      </fill>
    </dxf>
    <dxf>
      <fill>
        <patternFill>
          <bgColor theme="9" tint="0.39994506668294322"/>
        </patternFill>
      </fill>
    </dxf>
    <dxf>
      <numFmt numFmtId="0" formatCode="General"/>
      <fill>
        <patternFill>
          <fgColor theme="0"/>
          <bgColor theme="8" tint="0.59996337778862885"/>
        </patternFill>
      </fill>
    </dxf>
    <dxf>
      <fill>
        <patternFill>
          <bgColor theme="9" tint="0.39994506668294322"/>
        </patternFill>
      </fill>
    </dxf>
    <dxf>
      <numFmt numFmtId="0" formatCode="General"/>
      <fill>
        <patternFill>
          <fgColor theme="0"/>
          <bgColor theme="8" tint="0.59996337778862885"/>
        </patternFill>
      </fill>
    </dxf>
    <dxf>
      <fill>
        <patternFill>
          <bgColor theme="9" tint="0.39994506668294322"/>
        </patternFill>
      </fill>
    </dxf>
    <dxf>
      <numFmt numFmtId="0" formatCode="General"/>
      <fill>
        <patternFill>
          <fgColor theme="0"/>
          <bgColor theme="8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200025</xdr:rowOff>
        </xdr:from>
        <xdr:to>
          <xdr:col>2</xdr:col>
          <xdr:colOff>0</xdr:colOff>
          <xdr:row>0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561975</xdr:rowOff>
        </xdr:from>
        <xdr:to>
          <xdr:col>2</xdr:col>
          <xdr:colOff>0</xdr:colOff>
          <xdr:row>0</xdr:row>
          <xdr:rowOff>790575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3886200</xdr:colOff>
          <xdr:row>0</xdr:row>
          <xdr:rowOff>352425</xdr:rowOff>
        </xdr:from>
        <xdr:to>
          <xdr:col>2</xdr:col>
          <xdr:colOff>4191000</xdr:colOff>
          <xdr:row>0</xdr:row>
          <xdr:rowOff>590550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180975</xdr:rowOff>
        </xdr:from>
        <xdr:to>
          <xdr:col>5</xdr:col>
          <xdr:colOff>0</xdr:colOff>
          <xdr:row>0</xdr:row>
          <xdr:rowOff>419100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2066925</xdr:colOff>
          <xdr:row>0</xdr:row>
          <xdr:rowOff>180975</xdr:rowOff>
        </xdr:from>
        <xdr:to>
          <xdr:col>1</xdr:col>
          <xdr:colOff>2381250</xdr:colOff>
          <xdr:row>0</xdr:row>
          <xdr:rowOff>447675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2076450</xdr:colOff>
          <xdr:row>0</xdr:row>
          <xdr:rowOff>581025</xdr:rowOff>
        </xdr:from>
        <xdr:to>
          <xdr:col>1</xdr:col>
          <xdr:colOff>2381250</xdr:colOff>
          <xdr:row>0</xdr:row>
          <xdr:rowOff>838200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B1:I872"/>
  <sheetViews>
    <sheetView showGridLines="0" tabSelected="1" zoomScaleNormal="100" workbookViewId="0">
      <pane ySplit="2" topLeftCell="A179" activePane="bottomLeft" state="frozen"/>
      <selection pane="bottomLeft" activeCell="B3" sqref="B3:I828"/>
    </sheetView>
  </sheetViews>
  <sheetFormatPr defaultRowHeight="15" x14ac:dyDescent="0.25"/>
  <cols>
    <col min="1" max="1" width="1.28515625" customWidth="1"/>
    <col min="2" max="2" width="36.140625" style="5" customWidth="1"/>
    <col min="3" max="3" width="84" style="5" customWidth="1"/>
    <col min="4" max="5" width="27.85546875" style="5" customWidth="1"/>
    <col min="6" max="6" width="15.5703125" style="5" customWidth="1"/>
    <col min="7" max="7" width="23.42578125" style="5" customWidth="1"/>
    <col min="8" max="9" width="11.140625" style="7" customWidth="1"/>
  </cols>
  <sheetData>
    <row r="1" spans="2:9" ht="79.5" customHeight="1" x14ac:dyDescent="0.25">
      <c r="C1" s="12" t="s">
        <v>903</v>
      </c>
      <c r="D1" s="12" t="s">
        <v>909</v>
      </c>
      <c r="E1" s="7"/>
    </row>
    <row r="2" spans="2:9" s="1" customFormat="1" ht="52.5" customHeight="1" x14ac:dyDescent="0.25">
      <c r="B2" s="3" t="s">
        <v>826</v>
      </c>
      <c r="C2" s="3" t="s">
        <v>827</v>
      </c>
      <c r="D2" s="3" t="s">
        <v>829</v>
      </c>
      <c r="E2" s="3" t="s">
        <v>910</v>
      </c>
      <c r="F2" s="3" t="s">
        <v>830</v>
      </c>
      <c r="G2" s="3" t="s">
        <v>900</v>
      </c>
      <c r="H2" s="3" t="s">
        <v>828</v>
      </c>
      <c r="I2" s="3" t="s">
        <v>1636</v>
      </c>
    </row>
    <row r="3" spans="2:9" hidden="1" x14ac:dyDescent="0.25">
      <c r="B3" s="4" t="s">
        <v>97</v>
      </c>
      <c r="C3" s="4" t="s">
        <v>577</v>
      </c>
      <c r="D3" s="8" t="s">
        <v>1641</v>
      </c>
      <c r="E3" s="8" t="s">
        <v>1641</v>
      </c>
      <c r="F3" s="8" t="s">
        <v>1641</v>
      </c>
      <c r="G3" s="8" t="s">
        <v>1641</v>
      </c>
      <c r="H3" s="8" t="s">
        <v>1641</v>
      </c>
      <c r="I3" s="8" t="s">
        <v>1641</v>
      </c>
    </row>
    <row r="4" spans="2:9" hidden="1" x14ac:dyDescent="0.25">
      <c r="B4" s="4" t="s">
        <v>421</v>
      </c>
      <c r="C4" s="4" t="s">
        <v>824</v>
      </c>
      <c r="D4" s="8" t="s">
        <v>1641</v>
      </c>
      <c r="E4" s="8" t="s">
        <v>1641</v>
      </c>
      <c r="F4" s="8" t="s">
        <v>1641</v>
      </c>
      <c r="G4" s="8" t="s">
        <v>1641</v>
      </c>
      <c r="H4" s="8" t="s">
        <v>1641</v>
      </c>
      <c r="I4" s="8" t="s">
        <v>1641</v>
      </c>
    </row>
    <row r="5" spans="2:9" hidden="1" x14ac:dyDescent="0.25">
      <c r="B5" s="4" t="s">
        <v>929</v>
      </c>
      <c r="C5" s="4" t="s">
        <v>1114</v>
      </c>
      <c r="D5" s="8" t="s">
        <v>1641</v>
      </c>
      <c r="E5" s="8" t="s">
        <v>1641</v>
      </c>
      <c r="F5" s="8" t="s">
        <v>1641</v>
      </c>
      <c r="G5" s="8" t="s">
        <v>1641</v>
      </c>
      <c r="H5" s="8" t="s">
        <v>1641</v>
      </c>
      <c r="I5" s="8" t="s">
        <v>1641</v>
      </c>
    </row>
    <row r="6" spans="2:9" hidden="1" x14ac:dyDescent="0.25">
      <c r="B6" s="4" t="s">
        <v>422</v>
      </c>
      <c r="C6" s="4" t="s">
        <v>575</v>
      </c>
      <c r="D6" s="8" t="s">
        <v>1641</v>
      </c>
      <c r="E6" s="8" t="s">
        <v>1641</v>
      </c>
      <c r="F6" s="8" t="s">
        <v>1641</v>
      </c>
      <c r="G6" s="8" t="s">
        <v>1641</v>
      </c>
      <c r="H6" s="8" t="s">
        <v>1641</v>
      </c>
      <c r="I6" s="8" t="s">
        <v>1641</v>
      </c>
    </row>
    <row r="7" spans="2:9" hidden="1" x14ac:dyDescent="0.25">
      <c r="B7" s="4" t="s">
        <v>930</v>
      </c>
      <c r="C7" s="4" t="s">
        <v>1115</v>
      </c>
      <c r="D7" s="8" t="s">
        <v>1641</v>
      </c>
      <c r="E7" s="8" t="s">
        <v>1641</v>
      </c>
      <c r="F7" s="8" t="s">
        <v>1641</v>
      </c>
      <c r="G7" s="8" t="s">
        <v>1641</v>
      </c>
      <c r="H7" s="8" t="s">
        <v>1641</v>
      </c>
      <c r="I7" s="8" t="s">
        <v>1641</v>
      </c>
    </row>
    <row r="8" spans="2:9" hidden="1" x14ac:dyDescent="0.25">
      <c r="B8" s="4" t="s">
        <v>423</v>
      </c>
      <c r="C8" s="4" t="s">
        <v>574</v>
      </c>
      <c r="D8" s="8" t="s">
        <v>1641</v>
      </c>
      <c r="E8" s="8" t="s">
        <v>1641</v>
      </c>
      <c r="F8" s="8" t="s">
        <v>1641</v>
      </c>
      <c r="G8" s="8" t="s">
        <v>1641</v>
      </c>
      <c r="H8" s="8" t="s">
        <v>1641</v>
      </c>
      <c r="I8" s="8" t="s">
        <v>1641</v>
      </c>
    </row>
    <row r="9" spans="2:9" hidden="1" x14ac:dyDescent="0.25">
      <c r="B9" s="4" t="s">
        <v>424</v>
      </c>
      <c r="C9" s="4" t="s">
        <v>578</v>
      </c>
      <c r="D9" s="8" t="s">
        <v>1641</v>
      </c>
      <c r="E9" s="8" t="s">
        <v>1641</v>
      </c>
      <c r="F9" s="8" t="s">
        <v>1641</v>
      </c>
      <c r="G9" s="8" t="s">
        <v>1641</v>
      </c>
      <c r="H9" s="8" t="s">
        <v>1641</v>
      </c>
      <c r="I9" s="8" t="s">
        <v>1641</v>
      </c>
    </row>
    <row r="10" spans="2:9" hidden="1" x14ac:dyDescent="0.25">
      <c r="B10" s="4" t="s">
        <v>425</v>
      </c>
      <c r="C10" s="4" t="s">
        <v>825</v>
      </c>
      <c r="D10" s="8" t="s">
        <v>1641</v>
      </c>
      <c r="E10" s="8" t="s">
        <v>1641</v>
      </c>
      <c r="F10" s="8" t="s">
        <v>1641</v>
      </c>
      <c r="G10" s="8" t="s">
        <v>1641</v>
      </c>
      <c r="H10" s="8" t="s">
        <v>1641</v>
      </c>
      <c r="I10" s="8" t="s">
        <v>1641</v>
      </c>
    </row>
    <row r="11" spans="2:9" hidden="1" x14ac:dyDescent="0.25">
      <c r="B11" s="4" t="s">
        <v>426</v>
      </c>
      <c r="C11" s="4" t="s">
        <v>576</v>
      </c>
      <c r="D11" s="8" t="s">
        <v>1641</v>
      </c>
      <c r="E11" s="8" t="s">
        <v>1641</v>
      </c>
      <c r="F11" s="8" t="s">
        <v>1641</v>
      </c>
      <c r="G11" s="8" t="s">
        <v>1641</v>
      </c>
      <c r="H11" s="8" t="s">
        <v>1641</v>
      </c>
      <c r="I11" s="8" t="s">
        <v>1641</v>
      </c>
    </row>
    <row r="12" spans="2:9" hidden="1" x14ac:dyDescent="0.25">
      <c r="B12" s="4" t="s">
        <v>427</v>
      </c>
      <c r="C12" s="4" t="s">
        <v>579</v>
      </c>
      <c r="D12" s="8" t="s">
        <v>1641</v>
      </c>
      <c r="E12" s="8" t="s">
        <v>1641</v>
      </c>
      <c r="F12" s="8" t="s">
        <v>1641</v>
      </c>
      <c r="G12" s="8" t="s">
        <v>1641</v>
      </c>
      <c r="H12" s="8" t="s">
        <v>1641</v>
      </c>
      <c r="I12" s="8" t="s">
        <v>1641</v>
      </c>
    </row>
    <row r="13" spans="2:9" x14ac:dyDescent="0.25">
      <c r="B13" s="4" t="s">
        <v>428</v>
      </c>
      <c r="C13" s="4" t="s">
        <v>1739</v>
      </c>
      <c r="D13" s="4" t="s">
        <v>918</v>
      </c>
      <c r="E13" s="4" t="s">
        <v>1738</v>
      </c>
      <c r="F13" s="4">
        <v>2013</v>
      </c>
      <c r="G13" s="4" t="s">
        <v>901</v>
      </c>
      <c r="H13" s="6">
        <v>1</v>
      </c>
      <c r="I13" s="6" t="s">
        <v>97</v>
      </c>
    </row>
    <row r="14" spans="2:9" hidden="1" x14ac:dyDescent="0.25">
      <c r="B14" s="4" t="s">
        <v>429</v>
      </c>
      <c r="C14" s="4" t="s">
        <v>580</v>
      </c>
      <c r="D14" s="8" t="s">
        <v>1641</v>
      </c>
      <c r="E14" s="8" t="s">
        <v>1641</v>
      </c>
      <c r="F14" s="8" t="s">
        <v>1641</v>
      </c>
      <c r="G14" s="8" t="s">
        <v>1641</v>
      </c>
      <c r="H14" s="8" t="s">
        <v>1641</v>
      </c>
      <c r="I14" s="8" t="s">
        <v>1641</v>
      </c>
    </row>
    <row r="15" spans="2:9" hidden="1" x14ac:dyDescent="0.25">
      <c r="B15" s="4" t="s">
        <v>98</v>
      </c>
      <c r="C15" s="4" t="s">
        <v>719</v>
      </c>
      <c r="D15" s="4" t="s">
        <v>1402</v>
      </c>
      <c r="E15" s="4" t="s">
        <v>1317</v>
      </c>
      <c r="F15" s="4">
        <v>2013</v>
      </c>
      <c r="G15" s="4" t="s">
        <v>901</v>
      </c>
      <c r="H15" s="6">
        <v>0</v>
      </c>
      <c r="I15" s="6" t="s">
        <v>97</v>
      </c>
    </row>
    <row r="16" spans="2:9" hidden="1" x14ac:dyDescent="0.25">
      <c r="B16" s="4" t="s">
        <v>99</v>
      </c>
      <c r="C16" s="4" t="s">
        <v>732</v>
      </c>
      <c r="D16" s="4" t="s">
        <v>1402</v>
      </c>
      <c r="E16" s="4" t="s">
        <v>1317</v>
      </c>
      <c r="F16" s="4">
        <v>2013</v>
      </c>
      <c r="G16" s="4" t="s">
        <v>901</v>
      </c>
      <c r="H16" s="6">
        <v>0</v>
      </c>
      <c r="I16" s="6" t="s">
        <v>97</v>
      </c>
    </row>
    <row r="17" spans="2:9" hidden="1" x14ac:dyDescent="0.25">
      <c r="B17" s="4" t="s">
        <v>100</v>
      </c>
      <c r="C17" s="4" t="s">
        <v>646</v>
      </c>
      <c r="D17" s="4" t="s">
        <v>1402</v>
      </c>
      <c r="E17" s="4" t="s">
        <v>1317</v>
      </c>
      <c r="F17" s="4">
        <v>2013</v>
      </c>
      <c r="G17" s="4" t="s">
        <v>901</v>
      </c>
      <c r="H17" s="6">
        <v>0</v>
      </c>
      <c r="I17" s="6" t="s">
        <v>97</v>
      </c>
    </row>
    <row r="18" spans="2:9" hidden="1" x14ac:dyDescent="0.25">
      <c r="B18" s="4" t="s">
        <v>101</v>
      </c>
      <c r="C18" s="4" t="s">
        <v>644</v>
      </c>
      <c r="D18" s="4" t="s">
        <v>1402</v>
      </c>
      <c r="E18" s="4" t="s">
        <v>1317</v>
      </c>
      <c r="F18" s="4">
        <v>2013</v>
      </c>
      <c r="G18" s="4" t="s">
        <v>901</v>
      </c>
      <c r="H18" s="6">
        <v>0</v>
      </c>
      <c r="I18" s="6" t="s">
        <v>97</v>
      </c>
    </row>
    <row r="19" spans="2:9" hidden="1" x14ac:dyDescent="0.25">
      <c r="B19" s="4" t="s">
        <v>102</v>
      </c>
      <c r="C19" s="4" t="s">
        <v>648</v>
      </c>
      <c r="D19" s="4" t="s">
        <v>1402</v>
      </c>
      <c r="E19" s="4" t="s">
        <v>1317</v>
      </c>
      <c r="F19" s="4">
        <v>2013</v>
      </c>
      <c r="G19" s="4" t="s">
        <v>901</v>
      </c>
      <c r="H19" s="6">
        <v>0</v>
      </c>
      <c r="I19" s="6" t="s">
        <v>97</v>
      </c>
    </row>
    <row r="20" spans="2:9" hidden="1" x14ac:dyDescent="0.25">
      <c r="B20" s="4" t="s">
        <v>103</v>
      </c>
      <c r="C20" s="4" t="s">
        <v>651</v>
      </c>
      <c r="D20" s="4" t="s">
        <v>1402</v>
      </c>
      <c r="E20" s="4" t="s">
        <v>1317</v>
      </c>
      <c r="F20" s="4">
        <v>2013</v>
      </c>
      <c r="G20" s="4" t="s">
        <v>901</v>
      </c>
      <c r="H20" s="6">
        <v>0</v>
      </c>
      <c r="I20" s="6" t="s">
        <v>97</v>
      </c>
    </row>
    <row r="21" spans="2:9" hidden="1" x14ac:dyDescent="0.25">
      <c r="B21" s="4" t="s">
        <v>104</v>
      </c>
      <c r="C21" s="4" t="s">
        <v>611</v>
      </c>
      <c r="D21" s="4" t="s">
        <v>1402</v>
      </c>
      <c r="E21" s="4" t="s">
        <v>1317</v>
      </c>
      <c r="F21" s="4">
        <v>2013</v>
      </c>
      <c r="G21" s="4" t="s">
        <v>901</v>
      </c>
      <c r="H21" s="6">
        <v>0</v>
      </c>
      <c r="I21" s="6" t="s">
        <v>97</v>
      </c>
    </row>
    <row r="22" spans="2:9" hidden="1" x14ac:dyDescent="0.25">
      <c r="B22" s="4" t="s">
        <v>105</v>
      </c>
      <c r="C22" s="4" t="s">
        <v>609</v>
      </c>
      <c r="D22" s="4" t="s">
        <v>1402</v>
      </c>
      <c r="E22" s="4" t="s">
        <v>1317</v>
      </c>
      <c r="F22" s="4">
        <v>2013</v>
      </c>
      <c r="G22" s="4" t="s">
        <v>901</v>
      </c>
      <c r="H22" s="6">
        <v>0</v>
      </c>
      <c r="I22" s="6" t="s">
        <v>97</v>
      </c>
    </row>
    <row r="23" spans="2:9" hidden="1" x14ac:dyDescent="0.25">
      <c r="B23" s="4" t="s">
        <v>106</v>
      </c>
      <c r="C23" s="4" t="s">
        <v>613</v>
      </c>
      <c r="D23" s="4" t="s">
        <v>1402</v>
      </c>
      <c r="E23" s="4" t="s">
        <v>1317</v>
      </c>
      <c r="F23" s="4">
        <v>2013</v>
      </c>
      <c r="G23" s="4" t="s">
        <v>901</v>
      </c>
      <c r="H23" s="6">
        <v>0</v>
      </c>
      <c r="I23" s="6" t="s">
        <v>97</v>
      </c>
    </row>
    <row r="24" spans="2:9" hidden="1" x14ac:dyDescent="0.25">
      <c r="B24" s="4" t="s">
        <v>107</v>
      </c>
      <c r="C24" s="4" t="s">
        <v>616</v>
      </c>
      <c r="D24" s="4" t="s">
        <v>1402</v>
      </c>
      <c r="E24" s="4" t="s">
        <v>1317</v>
      </c>
      <c r="F24" s="4">
        <v>2013</v>
      </c>
      <c r="G24" s="4" t="s">
        <v>901</v>
      </c>
      <c r="H24" s="6">
        <v>0</v>
      </c>
      <c r="I24" s="6" t="s">
        <v>97</v>
      </c>
    </row>
    <row r="25" spans="2:9" hidden="1" x14ac:dyDescent="0.25">
      <c r="B25" s="4" t="s">
        <v>186</v>
      </c>
      <c r="C25" s="4" t="s">
        <v>526</v>
      </c>
      <c r="D25" s="4" t="s">
        <v>1402</v>
      </c>
      <c r="E25" s="4" t="s">
        <v>6</v>
      </c>
      <c r="F25" s="4">
        <v>2013</v>
      </c>
      <c r="G25" s="4" t="s">
        <v>901</v>
      </c>
      <c r="H25" s="6">
        <v>0</v>
      </c>
      <c r="I25" s="6" t="s">
        <v>97</v>
      </c>
    </row>
    <row r="26" spans="2:9" hidden="1" x14ac:dyDescent="0.25">
      <c r="B26" s="4" t="s">
        <v>187</v>
      </c>
      <c r="C26" s="4" t="s">
        <v>533</v>
      </c>
      <c r="D26" s="4" t="s">
        <v>1402</v>
      </c>
      <c r="E26" s="4" t="s">
        <v>6</v>
      </c>
      <c r="F26" s="4">
        <v>2013</v>
      </c>
      <c r="G26" s="4" t="s">
        <v>901</v>
      </c>
      <c r="H26" s="6">
        <v>0</v>
      </c>
      <c r="I26" s="6" t="s">
        <v>97</v>
      </c>
    </row>
    <row r="27" spans="2:9" hidden="1" x14ac:dyDescent="0.25">
      <c r="B27" s="4" t="s">
        <v>188</v>
      </c>
      <c r="C27" s="4" t="s">
        <v>532</v>
      </c>
      <c r="D27" s="4" t="s">
        <v>1402</v>
      </c>
      <c r="E27" s="4" t="s">
        <v>6</v>
      </c>
      <c r="F27" s="4">
        <v>2013</v>
      </c>
      <c r="G27" s="4" t="s">
        <v>901</v>
      </c>
      <c r="H27" s="6">
        <v>0</v>
      </c>
      <c r="I27" s="6" t="s">
        <v>97</v>
      </c>
    </row>
    <row r="28" spans="2:9" hidden="1" x14ac:dyDescent="0.25">
      <c r="B28" s="4" t="s">
        <v>189</v>
      </c>
      <c r="C28" s="4" t="s">
        <v>531</v>
      </c>
      <c r="D28" s="4" t="s">
        <v>1402</v>
      </c>
      <c r="E28" s="4" t="s">
        <v>6</v>
      </c>
      <c r="F28" s="4">
        <v>2013</v>
      </c>
      <c r="G28" s="4" t="s">
        <v>901</v>
      </c>
      <c r="H28" s="6">
        <v>0</v>
      </c>
      <c r="I28" s="6" t="s">
        <v>97</v>
      </c>
    </row>
    <row r="29" spans="2:9" hidden="1" x14ac:dyDescent="0.25">
      <c r="B29" s="4" t="s">
        <v>190</v>
      </c>
      <c r="C29" s="4" t="s">
        <v>534</v>
      </c>
      <c r="D29" s="4" t="s">
        <v>1402</v>
      </c>
      <c r="E29" s="4" t="s">
        <v>6</v>
      </c>
      <c r="F29" s="4">
        <v>2013</v>
      </c>
      <c r="G29" s="4" t="s">
        <v>901</v>
      </c>
      <c r="H29" s="6">
        <v>0</v>
      </c>
      <c r="I29" s="6" t="s">
        <v>97</v>
      </c>
    </row>
    <row r="30" spans="2:9" hidden="1" x14ac:dyDescent="0.25">
      <c r="B30" s="4" t="s">
        <v>191</v>
      </c>
      <c r="C30" s="4" t="s">
        <v>529</v>
      </c>
      <c r="D30" s="4" t="s">
        <v>1402</v>
      </c>
      <c r="E30" s="4" t="s">
        <v>6</v>
      </c>
      <c r="F30" s="4">
        <v>2013</v>
      </c>
      <c r="G30" s="4" t="s">
        <v>901</v>
      </c>
      <c r="H30" s="6">
        <v>0</v>
      </c>
      <c r="I30" s="6" t="s">
        <v>97</v>
      </c>
    </row>
    <row r="31" spans="2:9" hidden="1" x14ac:dyDescent="0.25">
      <c r="B31" s="4" t="s">
        <v>192</v>
      </c>
      <c r="C31" s="4" t="s">
        <v>528</v>
      </c>
      <c r="D31" s="4" t="s">
        <v>1402</v>
      </c>
      <c r="E31" s="4" t="s">
        <v>6</v>
      </c>
      <c r="F31" s="4">
        <v>2013</v>
      </c>
      <c r="G31" s="4" t="s">
        <v>901</v>
      </c>
      <c r="H31" s="6">
        <v>0</v>
      </c>
      <c r="I31" s="6" t="s">
        <v>97</v>
      </c>
    </row>
    <row r="32" spans="2:9" hidden="1" x14ac:dyDescent="0.25">
      <c r="B32" s="4" t="s">
        <v>193</v>
      </c>
      <c r="C32" s="4" t="s">
        <v>527</v>
      </c>
      <c r="D32" s="4" t="s">
        <v>1402</v>
      </c>
      <c r="E32" s="4" t="s">
        <v>6</v>
      </c>
      <c r="F32" s="4">
        <v>2013</v>
      </c>
      <c r="G32" s="4" t="s">
        <v>901</v>
      </c>
      <c r="H32" s="6">
        <v>0</v>
      </c>
      <c r="I32" s="6" t="s">
        <v>97</v>
      </c>
    </row>
    <row r="33" spans="2:9" hidden="1" x14ac:dyDescent="0.25">
      <c r="B33" s="4" t="s">
        <v>194</v>
      </c>
      <c r="C33" s="4" t="s">
        <v>530</v>
      </c>
      <c r="D33" s="4" t="s">
        <v>1402</v>
      </c>
      <c r="E33" s="4" t="s">
        <v>6</v>
      </c>
      <c r="F33" s="4">
        <v>2013</v>
      </c>
      <c r="G33" s="4" t="s">
        <v>901</v>
      </c>
      <c r="H33" s="6">
        <v>0</v>
      </c>
      <c r="I33" s="6" t="s">
        <v>97</v>
      </c>
    </row>
    <row r="34" spans="2:9" hidden="1" x14ac:dyDescent="0.25">
      <c r="B34" s="4" t="s">
        <v>195</v>
      </c>
      <c r="C34" s="4" t="s">
        <v>548</v>
      </c>
      <c r="D34" s="4" t="s">
        <v>1402</v>
      </c>
      <c r="E34" s="4" t="s">
        <v>6</v>
      </c>
      <c r="F34" s="4">
        <v>2013</v>
      </c>
      <c r="G34" s="4" t="s">
        <v>901</v>
      </c>
      <c r="H34" s="6">
        <v>0</v>
      </c>
      <c r="I34" s="6" t="s">
        <v>97</v>
      </c>
    </row>
    <row r="35" spans="2:9" hidden="1" x14ac:dyDescent="0.25">
      <c r="B35" s="4" t="s">
        <v>196</v>
      </c>
      <c r="C35" s="4" t="s">
        <v>563</v>
      </c>
      <c r="D35" s="4" t="s">
        <v>1402</v>
      </c>
      <c r="E35" s="4" t="s">
        <v>6</v>
      </c>
      <c r="F35" s="4">
        <v>2013</v>
      </c>
      <c r="G35" s="4" t="s">
        <v>901</v>
      </c>
      <c r="H35" s="6">
        <v>0</v>
      </c>
      <c r="I35" s="6" t="s">
        <v>97</v>
      </c>
    </row>
    <row r="36" spans="2:9" hidden="1" x14ac:dyDescent="0.25">
      <c r="B36" s="4" t="s">
        <v>197</v>
      </c>
      <c r="C36" s="4" t="s">
        <v>562</v>
      </c>
      <c r="D36" s="4" t="s">
        <v>1402</v>
      </c>
      <c r="E36" s="4" t="s">
        <v>6</v>
      </c>
      <c r="F36" s="4">
        <v>2013</v>
      </c>
      <c r="G36" s="4" t="s">
        <v>901</v>
      </c>
      <c r="H36" s="6">
        <v>0</v>
      </c>
      <c r="I36" s="6" t="s">
        <v>97</v>
      </c>
    </row>
    <row r="37" spans="2:9" hidden="1" x14ac:dyDescent="0.25">
      <c r="B37" s="4" t="s">
        <v>198</v>
      </c>
      <c r="C37" s="4" t="s">
        <v>561</v>
      </c>
      <c r="D37" s="4" t="s">
        <v>1402</v>
      </c>
      <c r="E37" s="4" t="s">
        <v>6</v>
      </c>
      <c r="F37" s="4">
        <v>2013</v>
      </c>
      <c r="G37" s="4" t="s">
        <v>901</v>
      </c>
      <c r="H37" s="6">
        <v>0</v>
      </c>
      <c r="I37" s="6" t="s">
        <v>97</v>
      </c>
    </row>
    <row r="38" spans="2:9" hidden="1" x14ac:dyDescent="0.25">
      <c r="B38" s="4" t="s">
        <v>199</v>
      </c>
      <c r="C38" s="4" t="s">
        <v>564</v>
      </c>
      <c r="D38" s="4" t="s">
        <v>1402</v>
      </c>
      <c r="E38" s="4" t="s">
        <v>6</v>
      </c>
      <c r="F38" s="4">
        <v>2013</v>
      </c>
      <c r="G38" s="4" t="s">
        <v>901</v>
      </c>
      <c r="H38" s="6">
        <v>0</v>
      </c>
      <c r="I38" s="6" t="s">
        <v>97</v>
      </c>
    </row>
    <row r="39" spans="2:9" hidden="1" x14ac:dyDescent="0.25">
      <c r="B39" s="4" t="s">
        <v>200</v>
      </c>
      <c r="C39" s="4" t="s">
        <v>559</v>
      </c>
      <c r="D39" s="4" t="s">
        <v>1402</v>
      </c>
      <c r="E39" s="4" t="s">
        <v>6</v>
      </c>
      <c r="F39" s="4">
        <v>2013</v>
      </c>
      <c r="G39" s="4" t="s">
        <v>901</v>
      </c>
      <c r="H39" s="6">
        <v>0</v>
      </c>
      <c r="I39" s="6" t="s">
        <v>97</v>
      </c>
    </row>
    <row r="40" spans="2:9" hidden="1" x14ac:dyDescent="0.25">
      <c r="B40" s="4" t="s">
        <v>201</v>
      </c>
      <c r="C40" s="4" t="s">
        <v>558</v>
      </c>
      <c r="D40" s="4" t="s">
        <v>1402</v>
      </c>
      <c r="E40" s="4" t="s">
        <v>6</v>
      </c>
      <c r="F40" s="4">
        <v>2013</v>
      </c>
      <c r="G40" s="4" t="s">
        <v>901</v>
      </c>
      <c r="H40" s="6">
        <v>0</v>
      </c>
      <c r="I40" s="6" t="s">
        <v>97</v>
      </c>
    </row>
    <row r="41" spans="2:9" hidden="1" x14ac:dyDescent="0.25">
      <c r="B41" s="4" t="s">
        <v>202</v>
      </c>
      <c r="C41" s="4" t="s">
        <v>557</v>
      </c>
      <c r="D41" s="4" t="s">
        <v>1402</v>
      </c>
      <c r="E41" s="4" t="s">
        <v>6</v>
      </c>
      <c r="F41" s="4">
        <v>2013</v>
      </c>
      <c r="G41" s="4" t="s">
        <v>901</v>
      </c>
      <c r="H41" s="6">
        <v>0</v>
      </c>
      <c r="I41" s="6" t="s">
        <v>97</v>
      </c>
    </row>
    <row r="42" spans="2:9" hidden="1" x14ac:dyDescent="0.25">
      <c r="B42" s="4" t="s">
        <v>203</v>
      </c>
      <c r="C42" s="4" t="s">
        <v>560</v>
      </c>
      <c r="D42" s="4" t="s">
        <v>1402</v>
      </c>
      <c r="E42" s="4" t="s">
        <v>6</v>
      </c>
      <c r="F42" s="4">
        <v>2013</v>
      </c>
      <c r="G42" s="4" t="s">
        <v>901</v>
      </c>
      <c r="H42" s="6">
        <v>0</v>
      </c>
      <c r="I42" s="6" t="s">
        <v>97</v>
      </c>
    </row>
    <row r="43" spans="2:9" hidden="1" x14ac:dyDescent="0.25">
      <c r="B43" s="4" t="s">
        <v>204</v>
      </c>
      <c r="C43" s="4" t="s">
        <v>565</v>
      </c>
      <c r="D43" s="4" t="s">
        <v>1402</v>
      </c>
      <c r="E43" s="4" t="s">
        <v>6</v>
      </c>
      <c r="F43" s="4">
        <v>2013</v>
      </c>
      <c r="G43" s="4" t="s">
        <v>901</v>
      </c>
      <c r="H43" s="6">
        <v>0</v>
      </c>
      <c r="I43" s="6" t="s">
        <v>97</v>
      </c>
    </row>
    <row r="44" spans="2:9" hidden="1" x14ac:dyDescent="0.25">
      <c r="B44" s="4" t="s">
        <v>943</v>
      </c>
      <c r="C44" s="4" t="s">
        <v>1117</v>
      </c>
      <c r="D44" s="4" t="s">
        <v>1402</v>
      </c>
      <c r="E44" s="4" t="s">
        <v>6</v>
      </c>
      <c r="F44" s="4">
        <v>2014</v>
      </c>
      <c r="G44" s="4" t="s">
        <v>901</v>
      </c>
      <c r="H44" s="6">
        <v>0</v>
      </c>
      <c r="I44" s="6" t="s">
        <v>97</v>
      </c>
    </row>
    <row r="45" spans="2:9" hidden="1" x14ac:dyDescent="0.25">
      <c r="B45" s="4" t="s">
        <v>205</v>
      </c>
      <c r="C45" s="4" t="s">
        <v>738</v>
      </c>
      <c r="D45" s="4" t="s">
        <v>1402</v>
      </c>
      <c r="E45" s="4" t="s">
        <v>6</v>
      </c>
      <c r="F45" s="4">
        <v>2013</v>
      </c>
      <c r="G45" s="4" t="s">
        <v>901</v>
      </c>
      <c r="H45" s="6">
        <v>0</v>
      </c>
      <c r="I45" s="6" t="s">
        <v>97</v>
      </c>
    </row>
    <row r="46" spans="2:9" hidden="1" x14ac:dyDescent="0.25">
      <c r="B46" s="4" t="s">
        <v>206</v>
      </c>
      <c r="C46" s="4" t="s">
        <v>743</v>
      </c>
      <c r="D46" s="4" t="s">
        <v>1402</v>
      </c>
      <c r="E46" s="4" t="s">
        <v>6</v>
      </c>
      <c r="F46" s="4">
        <v>2013</v>
      </c>
      <c r="G46" s="4" t="s">
        <v>901</v>
      </c>
      <c r="H46" s="6">
        <v>0</v>
      </c>
      <c r="I46" s="6" t="s">
        <v>97</v>
      </c>
    </row>
    <row r="47" spans="2:9" hidden="1" x14ac:dyDescent="0.25">
      <c r="B47" s="4" t="s">
        <v>207</v>
      </c>
      <c r="C47" s="4" t="s">
        <v>742</v>
      </c>
      <c r="D47" s="4" t="s">
        <v>1402</v>
      </c>
      <c r="E47" s="4" t="s">
        <v>6</v>
      </c>
      <c r="F47" s="4">
        <v>2013</v>
      </c>
      <c r="G47" s="4" t="s">
        <v>901</v>
      </c>
      <c r="H47" s="6">
        <v>0</v>
      </c>
      <c r="I47" s="6" t="s">
        <v>97</v>
      </c>
    </row>
    <row r="48" spans="2:9" hidden="1" x14ac:dyDescent="0.25">
      <c r="B48" s="4" t="s">
        <v>208</v>
      </c>
      <c r="C48" s="4" t="s">
        <v>744</v>
      </c>
      <c r="D48" s="4" t="s">
        <v>1402</v>
      </c>
      <c r="E48" s="4" t="s">
        <v>6</v>
      </c>
      <c r="F48" s="4">
        <v>2013</v>
      </c>
      <c r="G48" s="4" t="s">
        <v>901</v>
      </c>
      <c r="H48" s="6">
        <v>0</v>
      </c>
      <c r="I48" s="6" t="s">
        <v>97</v>
      </c>
    </row>
    <row r="49" spans="2:9" hidden="1" x14ac:dyDescent="0.25">
      <c r="B49" s="4" t="s">
        <v>209</v>
      </c>
      <c r="C49" s="4" t="s">
        <v>745</v>
      </c>
      <c r="D49" s="4" t="s">
        <v>1402</v>
      </c>
      <c r="E49" s="4" t="s">
        <v>6</v>
      </c>
      <c r="F49" s="4">
        <v>2013</v>
      </c>
      <c r="G49" s="4" t="s">
        <v>901</v>
      </c>
      <c r="H49" s="6">
        <v>0</v>
      </c>
      <c r="I49" s="6" t="s">
        <v>97</v>
      </c>
    </row>
    <row r="50" spans="2:9" hidden="1" x14ac:dyDescent="0.25">
      <c r="B50" s="4" t="s">
        <v>210</v>
      </c>
      <c r="C50" s="4" t="s">
        <v>746</v>
      </c>
      <c r="D50" s="4" t="s">
        <v>1402</v>
      </c>
      <c r="E50" s="4" t="s">
        <v>6</v>
      </c>
      <c r="F50" s="4">
        <v>2013</v>
      </c>
      <c r="G50" s="4" t="s">
        <v>901</v>
      </c>
      <c r="H50" s="6">
        <v>0</v>
      </c>
      <c r="I50" s="6" t="s">
        <v>97</v>
      </c>
    </row>
    <row r="51" spans="2:9" hidden="1" x14ac:dyDescent="0.25">
      <c r="B51" s="4" t="s">
        <v>211</v>
      </c>
      <c r="C51" s="4" t="s">
        <v>722</v>
      </c>
      <c r="D51" s="4" t="s">
        <v>1402</v>
      </c>
      <c r="E51" s="4" t="s">
        <v>6</v>
      </c>
      <c r="F51" s="4">
        <v>2013</v>
      </c>
      <c r="G51" s="4" t="s">
        <v>901</v>
      </c>
      <c r="H51" s="6">
        <v>0</v>
      </c>
      <c r="I51" s="6" t="s">
        <v>97</v>
      </c>
    </row>
    <row r="52" spans="2:9" hidden="1" x14ac:dyDescent="0.25">
      <c r="B52" s="4" t="s">
        <v>212</v>
      </c>
      <c r="C52" s="4" t="s">
        <v>717</v>
      </c>
      <c r="D52" s="4" t="s">
        <v>1402</v>
      </c>
      <c r="E52" s="4" t="s">
        <v>6</v>
      </c>
      <c r="F52" s="4">
        <v>2013</v>
      </c>
      <c r="G52" s="4" t="s">
        <v>901</v>
      </c>
      <c r="H52" s="6">
        <v>0</v>
      </c>
      <c r="I52" s="6" t="s">
        <v>97</v>
      </c>
    </row>
    <row r="53" spans="2:9" hidden="1" x14ac:dyDescent="0.25">
      <c r="B53" s="4" t="s">
        <v>213</v>
      </c>
      <c r="C53" s="4" t="s">
        <v>727</v>
      </c>
      <c r="D53" s="4" t="s">
        <v>1402</v>
      </c>
      <c r="E53" s="4" t="s">
        <v>6</v>
      </c>
      <c r="F53" s="4">
        <v>2013</v>
      </c>
      <c r="G53" s="4" t="s">
        <v>901</v>
      </c>
      <c r="H53" s="6">
        <v>0</v>
      </c>
      <c r="I53" s="6" t="s">
        <v>97</v>
      </c>
    </row>
    <row r="54" spans="2:9" hidden="1" x14ac:dyDescent="0.25">
      <c r="B54" s="4" t="s">
        <v>214</v>
      </c>
      <c r="C54" s="4" t="s">
        <v>733</v>
      </c>
      <c r="D54" s="4" t="s">
        <v>1402</v>
      </c>
      <c r="E54" s="4" t="s">
        <v>6</v>
      </c>
      <c r="F54" s="4">
        <v>2013</v>
      </c>
      <c r="G54" s="4" t="s">
        <v>901</v>
      </c>
      <c r="H54" s="6">
        <v>0</v>
      </c>
      <c r="I54" s="6" t="s">
        <v>97</v>
      </c>
    </row>
    <row r="55" spans="2:9" hidden="1" x14ac:dyDescent="0.25">
      <c r="B55" s="4" t="s">
        <v>215</v>
      </c>
      <c r="C55" s="4" t="s">
        <v>739</v>
      </c>
      <c r="D55" s="4" t="s">
        <v>1402</v>
      </c>
      <c r="E55" s="4" t="s">
        <v>6</v>
      </c>
      <c r="F55" s="4">
        <v>2013</v>
      </c>
      <c r="G55" s="4" t="s">
        <v>901</v>
      </c>
      <c r="H55" s="6">
        <v>0</v>
      </c>
      <c r="I55" s="6" t="s">
        <v>97</v>
      </c>
    </row>
    <row r="56" spans="2:9" hidden="1" x14ac:dyDescent="0.25">
      <c r="B56" s="4" t="s">
        <v>216</v>
      </c>
      <c r="C56" s="4" t="s">
        <v>720</v>
      </c>
      <c r="D56" s="4" t="s">
        <v>1402</v>
      </c>
      <c r="E56" s="4" t="s">
        <v>6</v>
      </c>
      <c r="F56" s="4">
        <v>2013</v>
      </c>
      <c r="G56" s="4" t="s">
        <v>901</v>
      </c>
      <c r="H56" s="6">
        <v>0</v>
      </c>
      <c r="I56" s="6" t="s">
        <v>97</v>
      </c>
    </row>
    <row r="57" spans="2:9" hidden="1" x14ac:dyDescent="0.25">
      <c r="B57" s="4" t="s">
        <v>217</v>
      </c>
      <c r="C57" s="4" t="s">
        <v>721</v>
      </c>
      <c r="D57" s="4" t="s">
        <v>1402</v>
      </c>
      <c r="E57" s="4" t="s">
        <v>6</v>
      </c>
      <c r="F57" s="4">
        <v>2013</v>
      </c>
      <c r="G57" s="4" t="s">
        <v>901</v>
      </c>
      <c r="H57" s="6">
        <v>0</v>
      </c>
      <c r="I57" s="6" t="s">
        <v>97</v>
      </c>
    </row>
    <row r="58" spans="2:9" hidden="1" x14ac:dyDescent="0.25">
      <c r="B58" s="4" t="s">
        <v>218</v>
      </c>
      <c r="C58" s="4" t="s">
        <v>535</v>
      </c>
      <c r="D58" s="4" t="s">
        <v>1402</v>
      </c>
      <c r="E58" s="4" t="s">
        <v>6</v>
      </c>
      <c r="F58" s="4">
        <v>2013</v>
      </c>
      <c r="G58" s="4" t="s">
        <v>901</v>
      </c>
      <c r="H58" s="6">
        <v>0</v>
      </c>
      <c r="I58" s="6" t="s">
        <v>97</v>
      </c>
    </row>
    <row r="59" spans="2:9" hidden="1" x14ac:dyDescent="0.25">
      <c r="B59" s="4" t="s">
        <v>219</v>
      </c>
      <c r="C59" s="4" t="s">
        <v>536</v>
      </c>
      <c r="D59" s="4" t="s">
        <v>1402</v>
      </c>
      <c r="E59" s="4" t="s">
        <v>6</v>
      </c>
      <c r="F59" s="4">
        <v>2013</v>
      </c>
      <c r="G59" s="4" t="s">
        <v>901</v>
      </c>
      <c r="H59" s="6">
        <v>0</v>
      </c>
      <c r="I59" s="6" t="s">
        <v>97</v>
      </c>
    </row>
    <row r="60" spans="2:9" hidden="1" x14ac:dyDescent="0.25">
      <c r="B60" s="4" t="s">
        <v>220</v>
      </c>
      <c r="C60" s="4" t="s">
        <v>537</v>
      </c>
      <c r="D60" s="4" t="s">
        <v>1402</v>
      </c>
      <c r="E60" s="4" t="s">
        <v>6</v>
      </c>
      <c r="F60" s="4">
        <v>2013</v>
      </c>
      <c r="G60" s="4" t="s">
        <v>901</v>
      </c>
      <c r="H60" s="6">
        <v>0</v>
      </c>
      <c r="I60" s="6" t="s">
        <v>97</v>
      </c>
    </row>
    <row r="61" spans="2:9" hidden="1" x14ac:dyDescent="0.25">
      <c r="B61" s="4" t="s">
        <v>221</v>
      </c>
      <c r="C61" s="4" t="s">
        <v>538</v>
      </c>
      <c r="D61" s="4" t="s">
        <v>1402</v>
      </c>
      <c r="E61" s="4" t="s">
        <v>6</v>
      </c>
      <c r="F61" s="4">
        <v>2013</v>
      </c>
      <c r="G61" s="4" t="s">
        <v>901</v>
      </c>
      <c r="H61" s="6">
        <v>0</v>
      </c>
      <c r="I61" s="6" t="s">
        <v>97</v>
      </c>
    </row>
    <row r="62" spans="2:9" hidden="1" x14ac:dyDescent="0.25">
      <c r="B62" s="4" t="s">
        <v>222</v>
      </c>
      <c r="C62" s="4" t="s">
        <v>539</v>
      </c>
      <c r="D62" s="4" t="s">
        <v>1402</v>
      </c>
      <c r="E62" s="4" t="s">
        <v>6</v>
      </c>
      <c r="F62" s="4">
        <v>2013</v>
      </c>
      <c r="G62" s="4" t="s">
        <v>901</v>
      </c>
      <c r="H62" s="6">
        <v>0</v>
      </c>
      <c r="I62" s="6" t="s">
        <v>97</v>
      </c>
    </row>
    <row r="63" spans="2:9" hidden="1" x14ac:dyDescent="0.25">
      <c r="B63" s="4" t="s">
        <v>223</v>
      </c>
      <c r="C63" s="4" t="s">
        <v>540</v>
      </c>
      <c r="D63" s="4" t="s">
        <v>1402</v>
      </c>
      <c r="E63" s="4" t="s">
        <v>6</v>
      </c>
      <c r="F63" s="4">
        <v>2013</v>
      </c>
      <c r="G63" s="4" t="s">
        <v>901</v>
      </c>
      <c r="H63" s="6">
        <v>0</v>
      </c>
      <c r="I63" s="6" t="s">
        <v>97</v>
      </c>
    </row>
    <row r="64" spans="2:9" hidden="1" x14ac:dyDescent="0.25">
      <c r="B64" s="4" t="s">
        <v>224</v>
      </c>
      <c r="C64" s="4" t="s">
        <v>541</v>
      </c>
      <c r="D64" s="4" t="s">
        <v>1402</v>
      </c>
      <c r="E64" s="4" t="s">
        <v>6</v>
      </c>
      <c r="F64" s="4">
        <v>2013</v>
      </c>
      <c r="G64" s="4" t="s">
        <v>901</v>
      </c>
      <c r="H64" s="6">
        <v>0</v>
      </c>
      <c r="I64" s="6" t="s">
        <v>97</v>
      </c>
    </row>
    <row r="65" spans="2:9" hidden="1" x14ac:dyDescent="0.25">
      <c r="B65" s="4" t="s">
        <v>225</v>
      </c>
      <c r="C65" s="4" t="s">
        <v>542</v>
      </c>
      <c r="D65" s="4" t="s">
        <v>1402</v>
      </c>
      <c r="E65" s="4" t="s">
        <v>6</v>
      </c>
      <c r="F65" s="4">
        <v>2013</v>
      </c>
      <c r="G65" s="4" t="s">
        <v>901</v>
      </c>
      <c r="H65" s="6">
        <v>0</v>
      </c>
      <c r="I65" s="6" t="s">
        <v>97</v>
      </c>
    </row>
    <row r="66" spans="2:9" hidden="1" x14ac:dyDescent="0.25">
      <c r="B66" s="4" t="s">
        <v>226</v>
      </c>
      <c r="C66" s="4" t="s">
        <v>549</v>
      </c>
      <c r="D66" s="4" t="s">
        <v>1402</v>
      </c>
      <c r="E66" s="4" t="s">
        <v>6</v>
      </c>
      <c r="F66" s="4">
        <v>2013</v>
      </c>
      <c r="G66" s="4" t="s">
        <v>901</v>
      </c>
      <c r="H66" s="6">
        <v>0</v>
      </c>
      <c r="I66" s="6" t="s">
        <v>97</v>
      </c>
    </row>
    <row r="67" spans="2:9" hidden="1" x14ac:dyDescent="0.25">
      <c r="B67" s="4" t="s">
        <v>227</v>
      </c>
      <c r="C67" s="4" t="s">
        <v>550</v>
      </c>
      <c r="D67" s="4" t="s">
        <v>1402</v>
      </c>
      <c r="E67" s="4" t="s">
        <v>6</v>
      </c>
      <c r="F67" s="4">
        <v>2013</v>
      </c>
      <c r="G67" s="4" t="s">
        <v>901</v>
      </c>
      <c r="H67" s="6">
        <v>0</v>
      </c>
      <c r="I67" s="6" t="s">
        <v>97</v>
      </c>
    </row>
    <row r="68" spans="2:9" hidden="1" x14ac:dyDescent="0.25">
      <c r="B68" s="4" t="s">
        <v>228</v>
      </c>
      <c r="C68" s="4" t="s">
        <v>551</v>
      </c>
      <c r="D68" s="4" t="s">
        <v>1402</v>
      </c>
      <c r="E68" s="4" t="s">
        <v>6</v>
      </c>
      <c r="F68" s="4">
        <v>2013</v>
      </c>
      <c r="G68" s="4" t="s">
        <v>901</v>
      </c>
      <c r="H68" s="6">
        <v>0</v>
      </c>
      <c r="I68" s="6" t="s">
        <v>97</v>
      </c>
    </row>
    <row r="69" spans="2:9" hidden="1" x14ac:dyDescent="0.25">
      <c r="B69" s="4" t="s">
        <v>229</v>
      </c>
      <c r="C69" s="4" t="s">
        <v>552</v>
      </c>
      <c r="D69" s="4" t="s">
        <v>1402</v>
      </c>
      <c r="E69" s="4" t="s">
        <v>6</v>
      </c>
      <c r="F69" s="4">
        <v>2013</v>
      </c>
      <c r="G69" s="4" t="s">
        <v>901</v>
      </c>
      <c r="H69" s="6">
        <v>0</v>
      </c>
      <c r="I69" s="6" t="s">
        <v>97</v>
      </c>
    </row>
    <row r="70" spans="2:9" hidden="1" x14ac:dyDescent="0.25">
      <c r="B70" s="4" t="s">
        <v>230</v>
      </c>
      <c r="C70" s="4" t="s">
        <v>553</v>
      </c>
      <c r="D70" s="4" t="s">
        <v>1402</v>
      </c>
      <c r="E70" s="4" t="s">
        <v>6</v>
      </c>
      <c r="F70" s="4">
        <v>2013</v>
      </c>
      <c r="G70" s="4" t="s">
        <v>901</v>
      </c>
      <c r="H70" s="6">
        <v>0</v>
      </c>
      <c r="I70" s="6" t="s">
        <v>97</v>
      </c>
    </row>
    <row r="71" spans="2:9" hidden="1" x14ac:dyDescent="0.25">
      <c r="B71" s="4" t="s">
        <v>231</v>
      </c>
      <c r="C71" s="4" t="s">
        <v>554</v>
      </c>
      <c r="D71" s="4" t="s">
        <v>1402</v>
      </c>
      <c r="E71" s="4" t="s">
        <v>6</v>
      </c>
      <c r="F71" s="4">
        <v>2013</v>
      </c>
      <c r="G71" s="4" t="s">
        <v>901</v>
      </c>
      <c r="H71" s="6">
        <v>0</v>
      </c>
      <c r="I71" s="6" t="s">
        <v>97</v>
      </c>
    </row>
    <row r="72" spans="2:9" hidden="1" x14ac:dyDescent="0.25">
      <c r="B72" s="4" t="s">
        <v>232</v>
      </c>
      <c r="C72" s="4" t="s">
        <v>555</v>
      </c>
      <c r="D72" s="4" t="s">
        <v>1402</v>
      </c>
      <c r="E72" s="4" t="s">
        <v>6</v>
      </c>
      <c r="F72" s="4">
        <v>2013</v>
      </c>
      <c r="G72" s="4" t="s">
        <v>901</v>
      </c>
      <c r="H72" s="6">
        <v>0</v>
      </c>
      <c r="I72" s="6" t="s">
        <v>97</v>
      </c>
    </row>
    <row r="73" spans="2:9" hidden="1" x14ac:dyDescent="0.25">
      <c r="B73" s="4" t="s">
        <v>233</v>
      </c>
      <c r="C73" s="4" t="s">
        <v>556</v>
      </c>
      <c r="D73" s="4" t="s">
        <v>1402</v>
      </c>
      <c r="E73" s="4" t="s">
        <v>6</v>
      </c>
      <c r="F73" s="4">
        <v>2013</v>
      </c>
      <c r="G73" s="4" t="s">
        <v>901</v>
      </c>
      <c r="H73" s="6">
        <v>0</v>
      </c>
      <c r="I73" s="6" t="s">
        <v>97</v>
      </c>
    </row>
    <row r="74" spans="2:9" hidden="1" x14ac:dyDescent="0.25">
      <c r="B74" s="4" t="s">
        <v>234</v>
      </c>
      <c r="C74" s="4" t="s">
        <v>515</v>
      </c>
      <c r="D74" s="4" t="s">
        <v>1402</v>
      </c>
      <c r="E74" s="4" t="s">
        <v>6</v>
      </c>
      <c r="F74" s="4">
        <v>2013</v>
      </c>
      <c r="G74" s="4" t="s">
        <v>901</v>
      </c>
      <c r="H74" s="6">
        <v>0</v>
      </c>
      <c r="I74" s="6" t="s">
        <v>97</v>
      </c>
    </row>
    <row r="75" spans="2:9" hidden="1" x14ac:dyDescent="0.25">
      <c r="B75" s="4" t="s">
        <v>235</v>
      </c>
      <c r="C75" s="4" t="s">
        <v>504</v>
      </c>
      <c r="D75" s="4" t="s">
        <v>1402</v>
      </c>
      <c r="E75" s="4" t="s">
        <v>6</v>
      </c>
      <c r="F75" s="4">
        <v>2013</v>
      </c>
      <c r="G75" s="4" t="s">
        <v>901</v>
      </c>
      <c r="H75" s="6">
        <v>0</v>
      </c>
      <c r="I75" s="6" t="s">
        <v>97</v>
      </c>
    </row>
    <row r="76" spans="2:9" hidden="1" x14ac:dyDescent="0.25">
      <c r="B76" s="4" t="s">
        <v>236</v>
      </c>
      <c r="C76" s="4" t="s">
        <v>516</v>
      </c>
      <c r="D76" s="4" t="s">
        <v>1402</v>
      </c>
      <c r="E76" s="4" t="s">
        <v>6</v>
      </c>
      <c r="F76" s="4">
        <v>2013</v>
      </c>
      <c r="G76" s="4" t="s">
        <v>901</v>
      </c>
      <c r="H76" s="6">
        <v>0</v>
      </c>
      <c r="I76" s="6" t="s">
        <v>97</v>
      </c>
    </row>
    <row r="77" spans="2:9" hidden="1" x14ac:dyDescent="0.25">
      <c r="B77" s="4" t="s">
        <v>237</v>
      </c>
      <c r="C77" s="4" t="s">
        <v>505</v>
      </c>
      <c r="D77" s="4" t="s">
        <v>1402</v>
      </c>
      <c r="E77" s="4" t="s">
        <v>6</v>
      </c>
      <c r="F77" s="4">
        <v>2013</v>
      </c>
      <c r="G77" s="4" t="s">
        <v>901</v>
      </c>
      <c r="H77" s="6">
        <v>0</v>
      </c>
      <c r="I77" s="6" t="s">
        <v>97</v>
      </c>
    </row>
    <row r="78" spans="2:9" hidden="1" x14ac:dyDescent="0.25">
      <c r="B78" s="4" t="s">
        <v>238</v>
      </c>
      <c r="C78" s="4" t="s">
        <v>543</v>
      </c>
      <c r="D78" s="4" t="s">
        <v>1402</v>
      </c>
      <c r="E78" s="4" t="s">
        <v>6</v>
      </c>
      <c r="F78" s="4">
        <v>2013</v>
      </c>
      <c r="G78" s="4" t="s">
        <v>901</v>
      </c>
      <c r="H78" s="6">
        <v>0</v>
      </c>
      <c r="I78" s="6" t="s">
        <v>97</v>
      </c>
    </row>
    <row r="79" spans="2:9" hidden="1" x14ac:dyDescent="0.25">
      <c r="B79" s="4" t="s">
        <v>239</v>
      </c>
      <c r="C79" s="4" t="s">
        <v>544</v>
      </c>
      <c r="D79" s="4" t="s">
        <v>1402</v>
      </c>
      <c r="E79" s="4" t="s">
        <v>6</v>
      </c>
      <c r="F79" s="4">
        <v>2013</v>
      </c>
      <c r="G79" s="4" t="s">
        <v>901</v>
      </c>
      <c r="H79" s="6">
        <v>0</v>
      </c>
      <c r="I79" s="6" t="s">
        <v>97</v>
      </c>
    </row>
    <row r="80" spans="2:9" hidden="1" x14ac:dyDescent="0.25">
      <c r="B80" s="4" t="s">
        <v>240</v>
      </c>
      <c r="C80" s="4" t="s">
        <v>545</v>
      </c>
      <c r="D80" s="4" t="s">
        <v>1402</v>
      </c>
      <c r="E80" s="4" t="s">
        <v>6</v>
      </c>
      <c r="F80" s="4">
        <v>2013</v>
      </c>
      <c r="G80" s="4" t="s">
        <v>901</v>
      </c>
      <c r="H80" s="6">
        <v>0</v>
      </c>
      <c r="I80" s="6" t="s">
        <v>97</v>
      </c>
    </row>
    <row r="81" spans="2:9" hidden="1" x14ac:dyDescent="0.25">
      <c r="B81" s="4" t="s">
        <v>241</v>
      </c>
      <c r="C81" s="4" t="s">
        <v>546</v>
      </c>
      <c r="D81" s="4" t="s">
        <v>1402</v>
      </c>
      <c r="E81" s="4" t="s">
        <v>6</v>
      </c>
      <c r="F81" s="4">
        <v>2013</v>
      </c>
      <c r="G81" s="4" t="s">
        <v>901</v>
      </c>
      <c r="H81" s="6">
        <v>0</v>
      </c>
      <c r="I81" s="6" t="s">
        <v>97</v>
      </c>
    </row>
    <row r="82" spans="2:9" hidden="1" x14ac:dyDescent="0.25">
      <c r="B82" s="4" t="s">
        <v>242</v>
      </c>
      <c r="C82" s="4" t="s">
        <v>547</v>
      </c>
      <c r="D82" s="4" t="s">
        <v>1402</v>
      </c>
      <c r="E82" s="4" t="s">
        <v>6</v>
      </c>
      <c r="F82" s="4">
        <v>2013</v>
      </c>
      <c r="G82" s="4" t="s">
        <v>901</v>
      </c>
      <c r="H82" s="6">
        <v>0</v>
      </c>
      <c r="I82" s="6" t="s">
        <v>97</v>
      </c>
    </row>
    <row r="83" spans="2:9" hidden="1" x14ac:dyDescent="0.25">
      <c r="B83" s="4" t="s">
        <v>243</v>
      </c>
      <c r="C83" s="4" t="s">
        <v>711</v>
      </c>
      <c r="D83" s="4" t="s">
        <v>1402</v>
      </c>
      <c r="E83" s="4" t="s">
        <v>6</v>
      </c>
      <c r="F83" s="4">
        <v>2013</v>
      </c>
      <c r="G83" s="4" t="s">
        <v>901</v>
      </c>
      <c r="H83" s="6">
        <v>0</v>
      </c>
      <c r="I83" s="6" t="s">
        <v>97</v>
      </c>
    </row>
    <row r="84" spans="2:9" hidden="1" x14ac:dyDescent="0.25">
      <c r="B84" s="4" t="s">
        <v>244</v>
      </c>
      <c r="C84" s="4" t="s">
        <v>713</v>
      </c>
      <c r="D84" s="4" t="s">
        <v>1402</v>
      </c>
      <c r="E84" s="4" t="s">
        <v>6</v>
      </c>
      <c r="F84" s="4">
        <v>2013</v>
      </c>
      <c r="G84" s="4" t="s">
        <v>901</v>
      </c>
      <c r="H84" s="6">
        <v>0</v>
      </c>
      <c r="I84" s="6" t="s">
        <v>97</v>
      </c>
    </row>
    <row r="85" spans="2:9" hidden="1" x14ac:dyDescent="0.25">
      <c r="B85" s="4" t="s">
        <v>245</v>
      </c>
      <c r="C85" s="4" t="s">
        <v>714</v>
      </c>
      <c r="D85" s="4" t="s">
        <v>1402</v>
      </c>
      <c r="E85" s="4" t="s">
        <v>6</v>
      </c>
      <c r="F85" s="4">
        <v>2013</v>
      </c>
      <c r="G85" s="4" t="s">
        <v>901</v>
      </c>
      <c r="H85" s="6">
        <v>0</v>
      </c>
      <c r="I85" s="6" t="s">
        <v>97</v>
      </c>
    </row>
    <row r="86" spans="2:9" hidden="1" x14ac:dyDescent="0.25">
      <c r="B86" s="4" t="s">
        <v>246</v>
      </c>
      <c r="C86" s="4" t="s">
        <v>716</v>
      </c>
      <c r="D86" s="4" t="s">
        <v>1402</v>
      </c>
      <c r="E86" s="4" t="s">
        <v>6</v>
      </c>
      <c r="F86" s="4">
        <v>2013</v>
      </c>
      <c r="G86" s="4" t="s">
        <v>901</v>
      </c>
      <c r="H86" s="6">
        <v>0</v>
      </c>
      <c r="I86" s="6" t="s">
        <v>97</v>
      </c>
    </row>
    <row r="87" spans="2:9" hidden="1" x14ac:dyDescent="0.25">
      <c r="B87" s="4" t="s">
        <v>247</v>
      </c>
      <c r="C87" s="4" t="s">
        <v>723</v>
      </c>
      <c r="D87" s="4" t="s">
        <v>1402</v>
      </c>
      <c r="E87" s="4" t="s">
        <v>6</v>
      </c>
      <c r="F87" s="4">
        <v>2013</v>
      </c>
      <c r="G87" s="4" t="s">
        <v>901</v>
      </c>
      <c r="H87" s="6">
        <v>0</v>
      </c>
      <c r="I87" s="6" t="s">
        <v>97</v>
      </c>
    </row>
    <row r="88" spans="2:9" hidden="1" x14ac:dyDescent="0.25">
      <c r="B88" s="4" t="s">
        <v>248</v>
      </c>
      <c r="C88" s="4" t="s">
        <v>725</v>
      </c>
      <c r="D88" s="4" t="s">
        <v>1402</v>
      </c>
      <c r="E88" s="4" t="s">
        <v>6</v>
      </c>
      <c r="F88" s="4">
        <v>2013</v>
      </c>
      <c r="G88" s="4" t="s">
        <v>901</v>
      </c>
      <c r="H88" s="6">
        <v>0</v>
      </c>
      <c r="I88" s="6" t="s">
        <v>97</v>
      </c>
    </row>
    <row r="89" spans="2:9" hidden="1" x14ac:dyDescent="0.25">
      <c r="B89" s="4" t="s">
        <v>249</v>
      </c>
      <c r="C89" s="4" t="s">
        <v>729</v>
      </c>
      <c r="D89" s="4" t="s">
        <v>1402</v>
      </c>
      <c r="E89" s="4" t="s">
        <v>6</v>
      </c>
      <c r="F89" s="4">
        <v>2013</v>
      </c>
      <c r="G89" s="4" t="s">
        <v>901</v>
      </c>
      <c r="H89" s="6">
        <v>0</v>
      </c>
      <c r="I89" s="6" t="s">
        <v>97</v>
      </c>
    </row>
    <row r="90" spans="2:9" x14ac:dyDescent="0.25">
      <c r="B90" s="4" t="s">
        <v>3</v>
      </c>
      <c r="C90" s="4" t="s">
        <v>908</v>
      </c>
      <c r="D90" s="4" t="s">
        <v>1402</v>
      </c>
      <c r="E90" s="4" t="s">
        <v>6</v>
      </c>
      <c r="F90" s="4">
        <v>2013</v>
      </c>
      <c r="G90" s="4" t="s">
        <v>901</v>
      </c>
      <c r="H90" s="6">
        <v>1</v>
      </c>
      <c r="I90" s="6" t="s">
        <v>97</v>
      </c>
    </row>
    <row r="91" spans="2:9" hidden="1" x14ac:dyDescent="0.25">
      <c r="B91" s="4" t="s">
        <v>272</v>
      </c>
      <c r="C91" s="4" t="s">
        <v>708</v>
      </c>
      <c r="D91" s="4" t="s">
        <v>1402</v>
      </c>
      <c r="E91" s="4" t="s">
        <v>1317</v>
      </c>
      <c r="F91" s="4">
        <v>2013</v>
      </c>
      <c r="G91" s="4" t="s">
        <v>901</v>
      </c>
      <c r="H91" s="6">
        <v>0</v>
      </c>
      <c r="I91" s="6" t="s">
        <v>97</v>
      </c>
    </row>
    <row r="92" spans="2:9" hidden="1" x14ac:dyDescent="0.25">
      <c r="B92" s="4" t="s">
        <v>273</v>
      </c>
      <c r="C92" s="4" t="s">
        <v>712</v>
      </c>
      <c r="D92" s="4" t="s">
        <v>1402</v>
      </c>
      <c r="E92" s="4" t="s">
        <v>1317</v>
      </c>
      <c r="F92" s="4">
        <v>2013</v>
      </c>
      <c r="G92" s="4" t="s">
        <v>901</v>
      </c>
      <c r="H92" s="6">
        <v>0</v>
      </c>
      <c r="I92" s="6" t="s">
        <v>97</v>
      </c>
    </row>
    <row r="93" spans="2:9" hidden="1" x14ac:dyDescent="0.25">
      <c r="B93" s="4" t="s">
        <v>274</v>
      </c>
      <c r="C93" s="4" t="s">
        <v>715</v>
      </c>
      <c r="D93" s="4" t="s">
        <v>1402</v>
      </c>
      <c r="E93" s="4" t="s">
        <v>1317</v>
      </c>
      <c r="F93" s="4">
        <v>2013</v>
      </c>
      <c r="G93" s="4" t="s">
        <v>901</v>
      </c>
      <c r="H93" s="6">
        <v>0</v>
      </c>
      <c r="I93" s="6" t="s">
        <v>97</v>
      </c>
    </row>
    <row r="94" spans="2:9" hidden="1" x14ac:dyDescent="0.25">
      <c r="B94" s="4" t="s">
        <v>275</v>
      </c>
      <c r="C94" s="4" t="s">
        <v>726</v>
      </c>
      <c r="D94" s="4" t="s">
        <v>1402</v>
      </c>
      <c r="E94" s="4" t="s">
        <v>1317</v>
      </c>
      <c r="F94" s="4">
        <v>2013</v>
      </c>
      <c r="G94" s="4" t="s">
        <v>901</v>
      </c>
      <c r="H94" s="6">
        <v>0</v>
      </c>
      <c r="I94" s="6" t="s">
        <v>97</v>
      </c>
    </row>
    <row r="95" spans="2:9" hidden="1" x14ac:dyDescent="0.25">
      <c r="B95" s="4" t="s">
        <v>276</v>
      </c>
      <c r="C95" s="4" t="s">
        <v>730</v>
      </c>
      <c r="D95" s="4" t="s">
        <v>1402</v>
      </c>
      <c r="E95" s="4" t="s">
        <v>1317</v>
      </c>
      <c r="F95" s="4">
        <v>2013</v>
      </c>
      <c r="G95" s="4" t="s">
        <v>901</v>
      </c>
      <c r="H95" s="6">
        <v>0</v>
      </c>
      <c r="I95" s="6" t="s">
        <v>97</v>
      </c>
    </row>
    <row r="96" spans="2:9" hidden="1" x14ac:dyDescent="0.25">
      <c r="B96" s="4" t="s">
        <v>277</v>
      </c>
      <c r="C96" s="4" t="s">
        <v>735</v>
      </c>
      <c r="D96" s="4" t="s">
        <v>1402</v>
      </c>
      <c r="E96" s="4" t="s">
        <v>1317</v>
      </c>
      <c r="F96" s="4">
        <v>2013</v>
      </c>
      <c r="G96" s="4" t="s">
        <v>901</v>
      </c>
      <c r="H96" s="6">
        <v>0</v>
      </c>
      <c r="I96" s="6" t="s">
        <v>97</v>
      </c>
    </row>
    <row r="97" spans="2:9" hidden="1" x14ac:dyDescent="0.25">
      <c r="B97" s="4" t="s">
        <v>944</v>
      </c>
      <c r="C97" s="4" t="s">
        <v>709</v>
      </c>
      <c r="D97" s="4" t="s">
        <v>1402</v>
      </c>
      <c r="E97" s="4" t="s">
        <v>1317</v>
      </c>
      <c r="F97" s="4">
        <v>2014</v>
      </c>
      <c r="G97" s="4" t="s">
        <v>901</v>
      </c>
      <c r="H97" s="6">
        <v>0</v>
      </c>
      <c r="I97" s="6" t="s">
        <v>97</v>
      </c>
    </row>
    <row r="98" spans="2:9" hidden="1" x14ac:dyDescent="0.25">
      <c r="B98" s="4" t="s">
        <v>278</v>
      </c>
      <c r="C98" s="4" t="s">
        <v>718</v>
      </c>
      <c r="D98" s="4" t="s">
        <v>1402</v>
      </c>
      <c r="E98" s="4" t="s">
        <v>1317</v>
      </c>
      <c r="F98" s="4">
        <v>2013</v>
      </c>
      <c r="G98" s="4" t="s">
        <v>901</v>
      </c>
      <c r="H98" s="6">
        <v>0</v>
      </c>
      <c r="I98" s="6" t="s">
        <v>97</v>
      </c>
    </row>
    <row r="99" spans="2:9" hidden="1" x14ac:dyDescent="0.25">
      <c r="B99" s="4" t="s">
        <v>279</v>
      </c>
      <c r="C99" s="4" t="s">
        <v>728</v>
      </c>
      <c r="D99" s="4" t="s">
        <v>1402</v>
      </c>
      <c r="E99" s="4" t="s">
        <v>1317</v>
      </c>
      <c r="F99" s="4">
        <v>2013</v>
      </c>
      <c r="G99" s="4" t="s">
        <v>901</v>
      </c>
      <c r="H99" s="6">
        <v>0</v>
      </c>
      <c r="I99" s="6" t="s">
        <v>97</v>
      </c>
    </row>
    <row r="100" spans="2:9" hidden="1" x14ac:dyDescent="0.25">
      <c r="B100" s="4" t="s">
        <v>280</v>
      </c>
      <c r="C100" s="4" t="s">
        <v>731</v>
      </c>
      <c r="D100" s="4" t="s">
        <v>1402</v>
      </c>
      <c r="E100" s="4" t="s">
        <v>1317</v>
      </c>
      <c r="F100" s="4">
        <v>2013</v>
      </c>
      <c r="G100" s="4" t="s">
        <v>901</v>
      </c>
      <c r="H100" s="6">
        <v>0</v>
      </c>
      <c r="I100" s="6" t="s">
        <v>97</v>
      </c>
    </row>
    <row r="101" spans="2:9" hidden="1" x14ac:dyDescent="0.25">
      <c r="B101" s="4" t="s">
        <v>281</v>
      </c>
      <c r="C101" s="4" t="s">
        <v>734</v>
      </c>
      <c r="D101" s="4" t="s">
        <v>1402</v>
      </c>
      <c r="E101" s="4" t="s">
        <v>1317</v>
      </c>
      <c r="F101" s="4">
        <v>2013</v>
      </c>
      <c r="G101" s="4" t="s">
        <v>901</v>
      </c>
      <c r="H101" s="6">
        <v>0</v>
      </c>
      <c r="I101" s="6" t="s">
        <v>97</v>
      </c>
    </row>
    <row r="102" spans="2:9" hidden="1" x14ac:dyDescent="0.25">
      <c r="B102" s="4" t="s">
        <v>282</v>
      </c>
      <c r="C102" s="4" t="s">
        <v>737</v>
      </c>
      <c r="D102" s="4" t="s">
        <v>1402</v>
      </c>
      <c r="E102" s="4" t="s">
        <v>1317</v>
      </c>
      <c r="F102" s="4">
        <v>2013</v>
      </c>
      <c r="G102" s="4" t="s">
        <v>901</v>
      </c>
      <c r="H102" s="6">
        <v>0</v>
      </c>
      <c r="I102" s="6" t="s">
        <v>97</v>
      </c>
    </row>
    <row r="103" spans="2:9" hidden="1" x14ac:dyDescent="0.25">
      <c r="B103" s="4" t="s">
        <v>283</v>
      </c>
      <c r="C103" s="4" t="s">
        <v>710</v>
      </c>
      <c r="D103" s="4" t="s">
        <v>1402</v>
      </c>
      <c r="E103" s="4" t="s">
        <v>1317</v>
      </c>
      <c r="F103" s="4">
        <v>2013</v>
      </c>
      <c r="G103" s="4" t="s">
        <v>901</v>
      </c>
      <c r="H103" s="6">
        <v>0</v>
      </c>
      <c r="I103" s="6" t="s">
        <v>97</v>
      </c>
    </row>
    <row r="104" spans="2:9" hidden="1" x14ac:dyDescent="0.25">
      <c r="B104" s="4" t="s">
        <v>284</v>
      </c>
      <c r="C104" s="4" t="s">
        <v>724</v>
      </c>
      <c r="D104" s="4" t="s">
        <v>1402</v>
      </c>
      <c r="E104" s="4" t="s">
        <v>1317</v>
      </c>
      <c r="F104" s="4">
        <v>2013</v>
      </c>
      <c r="G104" s="4" t="s">
        <v>901</v>
      </c>
      <c r="H104" s="6">
        <v>0</v>
      </c>
      <c r="I104" s="6" t="s">
        <v>97</v>
      </c>
    </row>
    <row r="105" spans="2:9" hidden="1" x14ac:dyDescent="0.25">
      <c r="B105" s="4" t="s">
        <v>285</v>
      </c>
      <c r="C105" s="4" t="s">
        <v>736</v>
      </c>
      <c r="D105" s="4" t="s">
        <v>1402</v>
      </c>
      <c r="E105" s="4" t="s">
        <v>1317</v>
      </c>
      <c r="F105" s="4">
        <v>2013</v>
      </c>
      <c r="G105" s="4" t="s">
        <v>901</v>
      </c>
      <c r="H105" s="6">
        <v>0</v>
      </c>
      <c r="I105" s="6" t="s">
        <v>97</v>
      </c>
    </row>
    <row r="106" spans="2:9" hidden="1" x14ac:dyDescent="0.25">
      <c r="B106" s="4" t="s">
        <v>286</v>
      </c>
      <c r="C106" s="4" t="s">
        <v>741</v>
      </c>
      <c r="D106" s="4" t="s">
        <v>1402</v>
      </c>
      <c r="E106" s="4" t="s">
        <v>1339</v>
      </c>
      <c r="F106" s="4">
        <v>2013</v>
      </c>
      <c r="G106" s="4" t="s">
        <v>901</v>
      </c>
      <c r="H106" s="6">
        <v>0</v>
      </c>
      <c r="I106" s="6" t="s">
        <v>97</v>
      </c>
    </row>
    <row r="107" spans="2:9" hidden="1" x14ac:dyDescent="0.25">
      <c r="B107" s="4" t="s">
        <v>287</v>
      </c>
      <c r="C107" s="4" t="s">
        <v>642</v>
      </c>
      <c r="D107" s="4" t="s">
        <v>1402</v>
      </c>
      <c r="E107" s="4" t="s">
        <v>1317</v>
      </c>
      <c r="F107" s="4">
        <v>2013</v>
      </c>
      <c r="G107" s="4" t="s">
        <v>901</v>
      </c>
      <c r="H107" s="6">
        <v>0</v>
      </c>
      <c r="I107" s="6" t="s">
        <v>97</v>
      </c>
    </row>
    <row r="108" spans="2:9" hidden="1" x14ac:dyDescent="0.25">
      <c r="B108" s="4" t="s">
        <v>288</v>
      </c>
      <c r="C108" s="4" t="s">
        <v>645</v>
      </c>
      <c r="D108" s="4" t="s">
        <v>1402</v>
      </c>
      <c r="E108" s="4" t="s">
        <v>1317</v>
      </c>
      <c r="F108" s="4">
        <v>2013</v>
      </c>
      <c r="G108" s="4" t="s">
        <v>901</v>
      </c>
      <c r="H108" s="6">
        <v>0</v>
      </c>
      <c r="I108" s="6" t="s">
        <v>97</v>
      </c>
    </row>
    <row r="109" spans="2:9" hidden="1" x14ac:dyDescent="0.25">
      <c r="B109" s="4" t="s">
        <v>289</v>
      </c>
      <c r="C109" s="4" t="s">
        <v>649</v>
      </c>
      <c r="D109" s="4" t="s">
        <v>1402</v>
      </c>
      <c r="E109" s="4" t="s">
        <v>1317</v>
      </c>
      <c r="F109" s="4">
        <v>2013</v>
      </c>
      <c r="G109" s="4" t="s">
        <v>901</v>
      </c>
      <c r="H109" s="6">
        <v>0</v>
      </c>
      <c r="I109" s="6" t="s">
        <v>97</v>
      </c>
    </row>
    <row r="110" spans="2:9" hidden="1" x14ac:dyDescent="0.25">
      <c r="B110" s="4" t="s">
        <v>290</v>
      </c>
      <c r="C110" s="4" t="s">
        <v>650</v>
      </c>
      <c r="D110" s="4" t="s">
        <v>1402</v>
      </c>
      <c r="E110" s="4" t="s">
        <v>1317</v>
      </c>
      <c r="F110" s="4">
        <v>2013</v>
      </c>
      <c r="G110" s="4" t="s">
        <v>901</v>
      </c>
      <c r="H110" s="6">
        <v>0</v>
      </c>
      <c r="I110" s="6" t="s">
        <v>97</v>
      </c>
    </row>
    <row r="111" spans="2:9" hidden="1" x14ac:dyDescent="0.25">
      <c r="B111" s="4" t="s">
        <v>291</v>
      </c>
      <c r="C111" s="4" t="s">
        <v>652</v>
      </c>
      <c r="D111" s="4" t="s">
        <v>1402</v>
      </c>
      <c r="E111" s="4" t="s">
        <v>1317</v>
      </c>
      <c r="F111" s="4">
        <v>2013</v>
      </c>
      <c r="G111" s="4" t="s">
        <v>901</v>
      </c>
      <c r="H111" s="6">
        <v>0</v>
      </c>
      <c r="I111" s="6" t="s">
        <v>97</v>
      </c>
    </row>
    <row r="112" spans="2:9" hidden="1" x14ac:dyDescent="0.25">
      <c r="B112" s="4" t="s">
        <v>292</v>
      </c>
      <c r="C112" s="4" t="s">
        <v>654</v>
      </c>
      <c r="D112" s="4" t="s">
        <v>1402</v>
      </c>
      <c r="E112" s="4" t="s">
        <v>1317</v>
      </c>
      <c r="F112" s="4">
        <v>2013</v>
      </c>
      <c r="G112" s="4" t="s">
        <v>901</v>
      </c>
      <c r="H112" s="6">
        <v>0</v>
      </c>
      <c r="I112" s="6" t="s">
        <v>97</v>
      </c>
    </row>
    <row r="113" spans="2:9" hidden="1" x14ac:dyDescent="0.25">
      <c r="B113" s="4" t="s">
        <v>293</v>
      </c>
      <c r="C113" s="4" t="s">
        <v>643</v>
      </c>
      <c r="D113" s="4" t="s">
        <v>1402</v>
      </c>
      <c r="E113" s="4" t="s">
        <v>1317</v>
      </c>
      <c r="F113" s="4">
        <v>2013</v>
      </c>
      <c r="G113" s="4" t="s">
        <v>901</v>
      </c>
      <c r="H113" s="6">
        <v>0</v>
      </c>
      <c r="I113" s="6" t="s">
        <v>97</v>
      </c>
    </row>
    <row r="114" spans="2:9" hidden="1" x14ac:dyDescent="0.25">
      <c r="B114" s="4" t="s">
        <v>294</v>
      </c>
      <c r="C114" s="4" t="s">
        <v>647</v>
      </c>
      <c r="D114" s="4" t="s">
        <v>1402</v>
      </c>
      <c r="E114" s="4" t="s">
        <v>1317</v>
      </c>
      <c r="F114" s="4">
        <v>2013</v>
      </c>
      <c r="G114" s="4" t="s">
        <v>901</v>
      </c>
      <c r="H114" s="6">
        <v>0</v>
      </c>
      <c r="I114" s="6" t="s">
        <v>97</v>
      </c>
    </row>
    <row r="115" spans="2:9" hidden="1" x14ac:dyDescent="0.25">
      <c r="B115" s="4" t="s">
        <v>295</v>
      </c>
      <c r="C115" s="4" t="s">
        <v>653</v>
      </c>
      <c r="D115" s="4" t="s">
        <v>1402</v>
      </c>
      <c r="E115" s="4" t="s">
        <v>1317</v>
      </c>
      <c r="F115" s="4">
        <v>2013</v>
      </c>
      <c r="G115" s="4" t="s">
        <v>901</v>
      </c>
      <c r="H115" s="6">
        <v>0</v>
      </c>
      <c r="I115" s="6" t="s">
        <v>97</v>
      </c>
    </row>
    <row r="116" spans="2:9" hidden="1" x14ac:dyDescent="0.25">
      <c r="B116" s="4" t="s">
        <v>296</v>
      </c>
      <c r="C116" s="4" t="s">
        <v>740</v>
      </c>
      <c r="D116" s="4" t="s">
        <v>1402</v>
      </c>
      <c r="E116" s="4" t="s">
        <v>1339</v>
      </c>
      <c r="F116" s="4">
        <v>2013</v>
      </c>
      <c r="G116" s="4" t="s">
        <v>901</v>
      </c>
      <c r="H116" s="6">
        <v>0</v>
      </c>
      <c r="I116" s="6" t="s">
        <v>97</v>
      </c>
    </row>
    <row r="117" spans="2:9" hidden="1" x14ac:dyDescent="0.25">
      <c r="B117" s="4" t="s">
        <v>297</v>
      </c>
      <c r="C117" s="4" t="s">
        <v>607</v>
      </c>
      <c r="D117" s="4" t="s">
        <v>1402</v>
      </c>
      <c r="E117" s="4" t="s">
        <v>1317</v>
      </c>
      <c r="F117" s="4">
        <v>2013</v>
      </c>
      <c r="G117" s="4" t="s">
        <v>901</v>
      </c>
      <c r="H117" s="6">
        <v>0</v>
      </c>
      <c r="I117" s="6" t="s">
        <v>97</v>
      </c>
    </row>
    <row r="118" spans="2:9" hidden="1" x14ac:dyDescent="0.25">
      <c r="B118" s="4" t="s">
        <v>298</v>
      </c>
      <c r="C118" s="4" t="s">
        <v>610</v>
      </c>
      <c r="D118" s="4" t="s">
        <v>1402</v>
      </c>
      <c r="E118" s="4" t="s">
        <v>1317</v>
      </c>
      <c r="F118" s="4">
        <v>2013</v>
      </c>
      <c r="G118" s="4" t="s">
        <v>901</v>
      </c>
      <c r="H118" s="6">
        <v>0</v>
      </c>
      <c r="I118" s="6" t="s">
        <v>97</v>
      </c>
    </row>
    <row r="119" spans="2:9" hidden="1" x14ac:dyDescent="0.25">
      <c r="B119" s="4" t="s">
        <v>299</v>
      </c>
      <c r="C119" s="4" t="s">
        <v>614</v>
      </c>
      <c r="D119" s="4" t="s">
        <v>1402</v>
      </c>
      <c r="E119" s="4" t="s">
        <v>1317</v>
      </c>
      <c r="F119" s="4">
        <v>2013</v>
      </c>
      <c r="G119" s="4" t="s">
        <v>901</v>
      </c>
      <c r="H119" s="6">
        <v>0</v>
      </c>
      <c r="I119" s="6" t="s">
        <v>97</v>
      </c>
    </row>
    <row r="120" spans="2:9" hidden="1" x14ac:dyDescent="0.25">
      <c r="B120" s="4" t="s">
        <v>300</v>
      </c>
      <c r="C120" s="4" t="s">
        <v>615</v>
      </c>
      <c r="D120" s="4" t="s">
        <v>1402</v>
      </c>
      <c r="E120" s="4" t="s">
        <v>1317</v>
      </c>
      <c r="F120" s="4">
        <v>2013</v>
      </c>
      <c r="G120" s="4" t="s">
        <v>901</v>
      </c>
      <c r="H120" s="6">
        <v>0</v>
      </c>
      <c r="I120" s="6" t="s">
        <v>97</v>
      </c>
    </row>
    <row r="121" spans="2:9" hidden="1" x14ac:dyDescent="0.25">
      <c r="B121" s="4" t="s">
        <v>301</v>
      </c>
      <c r="C121" s="4" t="s">
        <v>617</v>
      </c>
      <c r="D121" s="4" t="s">
        <v>1402</v>
      </c>
      <c r="E121" s="4" t="s">
        <v>1317</v>
      </c>
      <c r="F121" s="4">
        <v>2013</v>
      </c>
      <c r="G121" s="4" t="s">
        <v>901</v>
      </c>
      <c r="H121" s="6">
        <v>0</v>
      </c>
      <c r="I121" s="6" t="s">
        <v>97</v>
      </c>
    </row>
    <row r="122" spans="2:9" hidden="1" x14ac:dyDescent="0.25">
      <c r="B122" s="4" t="s">
        <v>302</v>
      </c>
      <c r="C122" s="4" t="s">
        <v>619</v>
      </c>
      <c r="D122" s="4" t="s">
        <v>1402</v>
      </c>
      <c r="E122" s="4" t="s">
        <v>1317</v>
      </c>
      <c r="F122" s="4">
        <v>2013</v>
      </c>
      <c r="G122" s="4" t="s">
        <v>901</v>
      </c>
      <c r="H122" s="6">
        <v>0</v>
      </c>
      <c r="I122" s="6" t="s">
        <v>97</v>
      </c>
    </row>
    <row r="123" spans="2:9" hidden="1" x14ac:dyDescent="0.25">
      <c r="B123" s="4" t="s">
        <v>303</v>
      </c>
      <c r="C123" s="4" t="s">
        <v>608</v>
      </c>
      <c r="D123" s="4" t="s">
        <v>1402</v>
      </c>
      <c r="E123" s="4" t="s">
        <v>1317</v>
      </c>
      <c r="F123" s="4">
        <v>2013</v>
      </c>
      <c r="G123" s="4" t="s">
        <v>901</v>
      </c>
      <c r="H123" s="6">
        <v>0</v>
      </c>
      <c r="I123" s="6" t="s">
        <v>97</v>
      </c>
    </row>
    <row r="124" spans="2:9" hidden="1" x14ac:dyDescent="0.25">
      <c r="B124" s="4" t="s">
        <v>304</v>
      </c>
      <c r="C124" s="4" t="s">
        <v>612</v>
      </c>
      <c r="D124" s="4" t="s">
        <v>1402</v>
      </c>
      <c r="E124" s="4" t="s">
        <v>1317</v>
      </c>
      <c r="F124" s="4">
        <v>2013</v>
      </c>
      <c r="G124" s="4" t="s">
        <v>901</v>
      </c>
      <c r="H124" s="6">
        <v>0</v>
      </c>
      <c r="I124" s="6" t="s">
        <v>97</v>
      </c>
    </row>
    <row r="125" spans="2:9" hidden="1" x14ac:dyDescent="0.25">
      <c r="B125" s="4" t="s">
        <v>305</v>
      </c>
      <c r="C125" s="4" t="s">
        <v>618</v>
      </c>
      <c r="D125" s="4" t="s">
        <v>1402</v>
      </c>
      <c r="E125" s="4" t="s">
        <v>1317</v>
      </c>
      <c r="F125" s="4">
        <v>2013</v>
      </c>
      <c r="G125" s="4" t="s">
        <v>901</v>
      </c>
      <c r="H125" s="6">
        <v>0</v>
      </c>
      <c r="I125" s="6" t="s">
        <v>97</v>
      </c>
    </row>
    <row r="126" spans="2:9" hidden="1" x14ac:dyDescent="0.25">
      <c r="B126" s="4" t="s">
        <v>306</v>
      </c>
      <c r="C126" s="4" t="s">
        <v>565</v>
      </c>
      <c r="D126" s="4" t="s">
        <v>1402</v>
      </c>
      <c r="E126" s="4" t="s">
        <v>1317</v>
      </c>
      <c r="F126" s="4">
        <v>2013</v>
      </c>
      <c r="G126" s="4" t="s">
        <v>901</v>
      </c>
      <c r="H126" s="6">
        <v>0</v>
      </c>
      <c r="I126" s="6" t="s">
        <v>97</v>
      </c>
    </row>
    <row r="127" spans="2:9" hidden="1" x14ac:dyDescent="0.25">
      <c r="B127" s="4" t="s">
        <v>307</v>
      </c>
      <c r="C127" s="4" t="s">
        <v>566</v>
      </c>
      <c r="D127" s="4" t="s">
        <v>1402</v>
      </c>
      <c r="E127" s="4" t="s">
        <v>916</v>
      </c>
      <c r="F127" s="4">
        <v>2013</v>
      </c>
      <c r="G127" s="4" t="s">
        <v>901</v>
      </c>
      <c r="H127" s="6">
        <v>0</v>
      </c>
      <c r="I127" s="6" t="s">
        <v>97</v>
      </c>
    </row>
    <row r="128" spans="2:9" hidden="1" x14ac:dyDescent="0.25">
      <c r="B128" s="4" t="s">
        <v>308</v>
      </c>
      <c r="C128" s="4" t="s">
        <v>567</v>
      </c>
      <c r="D128" s="4" t="s">
        <v>1402</v>
      </c>
      <c r="E128" s="4" t="s">
        <v>916</v>
      </c>
      <c r="F128" s="4">
        <v>2013</v>
      </c>
      <c r="G128" s="4" t="s">
        <v>901</v>
      </c>
      <c r="H128" s="6">
        <v>0</v>
      </c>
      <c r="I128" s="6" t="s">
        <v>97</v>
      </c>
    </row>
    <row r="129" spans="2:9" hidden="1" x14ac:dyDescent="0.25">
      <c r="B129" s="4" t="s">
        <v>309</v>
      </c>
      <c r="C129" s="4" t="s">
        <v>568</v>
      </c>
      <c r="D129" s="4" t="s">
        <v>1402</v>
      </c>
      <c r="E129" s="4" t="s">
        <v>916</v>
      </c>
      <c r="F129" s="4">
        <v>2013</v>
      </c>
      <c r="G129" s="4" t="s">
        <v>901</v>
      </c>
      <c r="H129" s="6">
        <v>0</v>
      </c>
      <c r="I129" s="6" t="s">
        <v>97</v>
      </c>
    </row>
    <row r="130" spans="2:9" hidden="1" x14ac:dyDescent="0.25">
      <c r="B130" s="4" t="s">
        <v>310</v>
      </c>
      <c r="C130" s="4" t="s">
        <v>569</v>
      </c>
      <c r="D130" s="4" t="s">
        <v>1402</v>
      </c>
      <c r="E130" s="4" t="s">
        <v>916</v>
      </c>
      <c r="F130" s="4">
        <v>2013</v>
      </c>
      <c r="G130" s="4" t="s">
        <v>901</v>
      </c>
      <c r="H130" s="6">
        <v>0</v>
      </c>
      <c r="I130" s="6" t="s">
        <v>97</v>
      </c>
    </row>
    <row r="131" spans="2:9" hidden="1" x14ac:dyDescent="0.25">
      <c r="B131" s="4" t="s">
        <v>311</v>
      </c>
      <c r="C131" s="4" t="s">
        <v>570</v>
      </c>
      <c r="D131" s="4" t="s">
        <v>1402</v>
      </c>
      <c r="E131" s="4" t="s">
        <v>916</v>
      </c>
      <c r="F131" s="4">
        <v>2013</v>
      </c>
      <c r="G131" s="4" t="s">
        <v>901</v>
      </c>
      <c r="H131" s="6">
        <v>0</v>
      </c>
      <c r="I131" s="6" t="s">
        <v>97</v>
      </c>
    </row>
    <row r="132" spans="2:9" hidden="1" x14ac:dyDescent="0.25">
      <c r="B132" s="4" t="s">
        <v>312</v>
      </c>
      <c r="C132" s="4" t="s">
        <v>571</v>
      </c>
      <c r="D132" s="4" t="s">
        <v>1402</v>
      </c>
      <c r="E132" s="4" t="s">
        <v>916</v>
      </c>
      <c r="F132" s="4">
        <v>2013</v>
      </c>
      <c r="G132" s="4" t="s">
        <v>901</v>
      </c>
      <c r="H132" s="6">
        <v>0</v>
      </c>
      <c r="I132" s="6" t="s">
        <v>97</v>
      </c>
    </row>
    <row r="133" spans="2:9" hidden="1" x14ac:dyDescent="0.25">
      <c r="B133" s="4" t="s">
        <v>313</v>
      </c>
      <c r="C133" s="4" t="s">
        <v>572</v>
      </c>
      <c r="D133" s="4" t="s">
        <v>1402</v>
      </c>
      <c r="E133" s="4" t="s">
        <v>916</v>
      </c>
      <c r="F133" s="4">
        <v>2013</v>
      </c>
      <c r="G133" s="4" t="s">
        <v>901</v>
      </c>
      <c r="H133" s="6">
        <v>0</v>
      </c>
      <c r="I133" s="6" t="s">
        <v>97</v>
      </c>
    </row>
    <row r="134" spans="2:9" hidden="1" x14ac:dyDescent="0.25">
      <c r="B134" s="4" t="s">
        <v>314</v>
      </c>
      <c r="C134" s="4" t="s">
        <v>573</v>
      </c>
      <c r="D134" s="4" t="s">
        <v>1402</v>
      </c>
      <c r="E134" s="4" t="s">
        <v>916</v>
      </c>
      <c r="F134" s="4">
        <v>2013</v>
      </c>
      <c r="G134" s="4" t="s">
        <v>901</v>
      </c>
      <c r="H134" s="6">
        <v>0</v>
      </c>
      <c r="I134" s="6" t="s">
        <v>97</v>
      </c>
    </row>
    <row r="135" spans="2:9" hidden="1" x14ac:dyDescent="0.25">
      <c r="B135" s="4" t="s">
        <v>315</v>
      </c>
      <c r="C135" s="4" t="s">
        <v>517</v>
      </c>
      <c r="D135" s="4" t="s">
        <v>1402</v>
      </c>
      <c r="E135" s="4" t="s">
        <v>1339</v>
      </c>
      <c r="F135" s="4">
        <v>2013</v>
      </c>
      <c r="G135" s="4" t="s">
        <v>901</v>
      </c>
      <c r="H135" s="6">
        <v>0</v>
      </c>
      <c r="I135" s="6" t="s">
        <v>97</v>
      </c>
    </row>
    <row r="136" spans="2:9" hidden="1" x14ac:dyDescent="0.25">
      <c r="B136" s="4" t="s">
        <v>316</v>
      </c>
      <c r="C136" s="4" t="s">
        <v>518</v>
      </c>
      <c r="D136" s="4" t="s">
        <v>1402</v>
      </c>
      <c r="E136" s="4" t="s">
        <v>916</v>
      </c>
      <c r="F136" s="4">
        <v>2013</v>
      </c>
      <c r="G136" s="4" t="s">
        <v>901</v>
      </c>
      <c r="H136" s="6">
        <v>0</v>
      </c>
      <c r="I136" s="6" t="s">
        <v>97</v>
      </c>
    </row>
    <row r="137" spans="2:9" hidden="1" x14ac:dyDescent="0.25">
      <c r="B137" s="4" t="s">
        <v>317</v>
      </c>
      <c r="C137" s="4" t="s">
        <v>519</v>
      </c>
      <c r="D137" s="4" t="s">
        <v>1402</v>
      </c>
      <c r="E137" s="4" t="s">
        <v>916</v>
      </c>
      <c r="F137" s="4">
        <v>2013</v>
      </c>
      <c r="G137" s="4" t="s">
        <v>901</v>
      </c>
      <c r="H137" s="6">
        <v>0</v>
      </c>
      <c r="I137" s="6" t="s">
        <v>97</v>
      </c>
    </row>
    <row r="138" spans="2:9" hidden="1" x14ac:dyDescent="0.25">
      <c r="B138" s="4" t="s">
        <v>318</v>
      </c>
      <c r="C138" s="4" t="s">
        <v>520</v>
      </c>
      <c r="D138" s="4" t="s">
        <v>1402</v>
      </c>
      <c r="E138" s="4" t="s">
        <v>916</v>
      </c>
      <c r="F138" s="4">
        <v>2013</v>
      </c>
      <c r="G138" s="4" t="s">
        <v>901</v>
      </c>
      <c r="H138" s="6">
        <v>0</v>
      </c>
      <c r="I138" s="6" t="s">
        <v>97</v>
      </c>
    </row>
    <row r="139" spans="2:9" hidden="1" x14ac:dyDescent="0.25">
      <c r="B139" s="4" t="s">
        <v>319</v>
      </c>
      <c r="C139" s="4" t="s">
        <v>521</v>
      </c>
      <c r="D139" s="4" t="s">
        <v>1402</v>
      </c>
      <c r="E139" s="4" t="s">
        <v>916</v>
      </c>
      <c r="F139" s="4">
        <v>2013</v>
      </c>
      <c r="G139" s="4" t="s">
        <v>901</v>
      </c>
      <c r="H139" s="6">
        <v>0</v>
      </c>
      <c r="I139" s="6" t="s">
        <v>97</v>
      </c>
    </row>
    <row r="140" spans="2:9" hidden="1" x14ac:dyDescent="0.25">
      <c r="B140" s="4" t="s">
        <v>320</v>
      </c>
      <c r="C140" s="4" t="s">
        <v>522</v>
      </c>
      <c r="D140" s="4" t="s">
        <v>1402</v>
      </c>
      <c r="E140" s="4" t="s">
        <v>916</v>
      </c>
      <c r="F140" s="4">
        <v>2013</v>
      </c>
      <c r="G140" s="4" t="s">
        <v>901</v>
      </c>
      <c r="H140" s="6">
        <v>0</v>
      </c>
      <c r="I140" s="6" t="s">
        <v>97</v>
      </c>
    </row>
    <row r="141" spans="2:9" hidden="1" x14ac:dyDescent="0.25">
      <c r="B141" s="4" t="s">
        <v>321</v>
      </c>
      <c r="C141" s="4" t="s">
        <v>523</v>
      </c>
      <c r="D141" s="4" t="s">
        <v>1402</v>
      </c>
      <c r="E141" s="4" t="s">
        <v>916</v>
      </c>
      <c r="F141" s="4">
        <v>2013</v>
      </c>
      <c r="G141" s="4" t="s">
        <v>901</v>
      </c>
      <c r="H141" s="6">
        <v>0</v>
      </c>
      <c r="I141" s="6" t="s">
        <v>97</v>
      </c>
    </row>
    <row r="142" spans="2:9" hidden="1" x14ac:dyDescent="0.25">
      <c r="B142" s="4" t="s">
        <v>322</v>
      </c>
      <c r="C142" s="4" t="s">
        <v>524</v>
      </c>
      <c r="D142" s="4" t="s">
        <v>1402</v>
      </c>
      <c r="E142" s="4" t="s">
        <v>916</v>
      </c>
      <c r="F142" s="4">
        <v>2013</v>
      </c>
      <c r="G142" s="4" t="s">
        <v>901</v>
      </c>
      <c r="H142" s="6">
        <v>0</v>
      </c>
      <c r="I142" s="6" t="s">
        <v>97</v>
      </c>
    </row>
    <row r="143" spans="2:9" hidden="1" x14ac:dyDescent="0.25">
      <c r="B143" s="4" t="s">
        <v>323</v>
      </c>
      <c r="C143" s="4" t="s">
        <v>525</v>
      </c>
      <c r="D143" s="4" t="s">
        <v>1402</v>
      </c>
      <c r="E143" s="4" t="s">
        <v>916</v>
      </c>
      <c r="F143" s="4">
        <v>2013</v>
      </c>
      <c r="G143" s="4" t="s">
        <v>901</v>
      </c>
      <c r="H143" s="6">
        <v>0</v>
      </c>
      <c r="I143" s="6" t="s">
        <v>97</v>
      </c>
    </row>
    <row r="144" spans="2:9" hidden="1" x14ac:dyDescent="0.25">
      <c r="B144" s="4" t="s">
        <v>324</v>
      </c>
      <c r="C144" s="4" t="s">
        <v>506</v>
      </c>
      <c r="D144" s="4" t="s">
        <v>1402</v>
      </c>
      <c r="E144" s="4" t="s">
        <v>1339</v>
      </c>
      <c r="F144" s="4">
        <v>2013</v>
      </c>
      <c r="G144" s="4" t="s">
        <v>901</v>
      </c>
      <c r="H144" s="6">
        <v>0</v>
      </c>
      <c r="I144" s="6" t="s">
        <v>97</v>
      </c>
    </row>
    <row r="145" spans="2:9" hidden="1" x14ac:dyDescent="0.25">
      <c r="B145" s="4" t="s">
        <v>325</v>
      </c>
      <c r="C145" s="4" t="s">
        <v>507</v>
      </c>
      <c r="D145" s="4" t="s">
        <v>1402</v>
      </c>
      <c r="E145" s="4" t="s">
        <v>916</v>
      </c>
      <c r="F145" s="4">
        <v>2013</v>
      </c>
      <c r="G145" s="4" t="s">
        <v>901</v>
      </c>
      <c r="H145" s="6">
        <v>0</v>
      </c>
      <c r="I145" s="6" t="s">
        <v>97</v>
      </c>
    </row>
    <row r="146" spans="2:9" hidden="1" x14ac:dyDescent="0.25">
      <c r="B146" s="4" t="s">
        <v>326</v>
      </c>
      <c r="C146" s="4" t="s">
        <v>508</v>
      </c>
      <c r="D146" s="4" t="s">
        <v>1402</v>
      </c>
      <c r="E146" s="4" t="s">
        <v>916</v>
      </c>
      <c r="F146" s="4">
        <v>2013</v>
      </c>
      <c r="G146" s="4" t="s">
        <v>901</v>
      </c>
      <c r="H146" s="6">
        <v>0</v>
      </c>
      <c r="I146" s="6" t="s">
        <v>97</v>
      </c>
    </row>
    <row r="147" spans="2:9" hidden="1" x14ac:dyDescent="0.25">
      <c r="B147" s="4" t="s">
        <v>327</v>
      </c>
      <c r="C147" s="4" t="s">
        <v>509</v>
      </c>
      <c r="D147" s="4" t="s">
        <v>1402</v>
      </c>
      <c r="E147" s="4" t="s">
        <v>916</v>
      </c>
      <c r="F147" s="4">
        <v>2013</v>
      </c>
      <c r="G147" s="4" t="s">
        <v>901</v>
      </c>
      <c r="H147" s="6">
        <v>0</v>
      </c>
      <c r="I147" s="6" t="s">
        <v>97</v>
      </c>
    </row>
    <row r="148" spans="2:9" hidden="1" x14ac:dyDescent="0.25">
      <c r="B148" s="4" t="s">
        <v>328</v>
      </c>
      <c r="C148" s="4" t="s">
        <v>510</v>
      </c>
      <c r="D148" s="4" t="s">
        <v>1402</v>
      </c>
      <c r="E148" s="4" t="s">
        <v>916</v>
      </c>
      <c r="F148" s="4">
        <v>2013</v>
      </c>
      <c r="G148" s="4" t="s">
        <v>901</v>
      </c>
      <c r="H148" s="6">
        <v>0</v>
      </c>
      <c r="I148" s="6" t="s">
        <v>97</v>
      </c>
    </row>
    <row r="149" spans="2:9" hidden="1" x14ac:dyDescent="0.25">
      <c r="B149" s="4" t="s">
        <v>329</v>
      </c>
      <c r="C149" s="4" t="s">
        <v>511</v>
      </c>
      <c r="D149" s="4" t="s">
        <v>1402</v>
      </c>
      <c r="E149" s="4" t="s">
        <v>916</v>
      </c>
      <c r="F149" s="4">
        <v>2013</v>
      </c>
      <c r="G149" s="4" t="s">
        <v>901</v>
      </c>
      <c r="H149" s="6">
        <v>0</v>
      </c>
      <c r="I149" s="6" t="s">
        <v>97</v>
      </c>
    </row>
    <row r="150" spans="2:9" hidden="1" x14ac:dyDescent="0.25">
      <c r="B150" s="4" t="s">
        <v>330</v>
      </c>
      <c r="C150" s="4" t="s">
        <v>512</v>
      </c>
      <c r="D150" s="4" t="s">
        <v>1402</v>
      </c>
      <c r="E150" s="4" t="s">
        <v>916</v>
      </c>
      <c r="F150" s="4">
        <v>2013</v>
      </c>
      <c r="G150" s="4" t="s">
        <v>901</v>
      </c>
      <c r="H150" s="6">
        <v>0</v>
      </c>
      <c r="I150" s="6" t="s">
        <v>97</v>
      </c>
    </row>
    <row r="151" spans="2:9" hidden="1" x14ac:dyDescent="0.25">
      <c r="B151" s="4" t="s">
        <v>331</v>
      </c>
      <c r="C151" s="4" t="s">
        <v>513</v>
      </c>
      <c r="D151" s="4" t="s">
        <v>1402</v>
      </c>
      <c r="E151" s="4" t="s">
        <v>916</v>
      </c>
      <c r="F151" s="4">
        <v>2013</v>
      </c>
      <c r="G151" s="4" t="s">
        <v>901</v>
      </c>
      <c r="H151" s="6">
        <v>0</v>
      </c>
      <c r="I151" s="6" t="s">
        <v>97</v>
      </c>
    </row>
    <row r="152" spans="2:9" hidden="1" x14ac:dyDescent="0.25">
      <c r="B152" s="4" t="s">
        <v>332</v>
      </c>
      <c r="C152" s="4" t="s">
        <v>514</v>
      </c>
      <c r="D152" s="4" t="s">
        <v>1402</v>
      </c>
      <c r="E152" s="4" t="s">
        <v>916</v>
      </c>
      <c r="F152" s="4">
        <v>2013</v>
      </c>
      <c r="G152" s="4" t="s">
        <v>901</v>
      </c>
      <c r="H152" s="6">
        <v>0</v>
      </c>
      <c r="I152" s="6" t="s">
        <v>97</v>
      </c>
    </row>
    <row r="153" spans="2:9" hidden="1" x14ac:dyDescent="0.25">
      <c r="B153" s="4" t="s">
        <v>333</v>
      </c>
      <c r="C153" s="4" t="s">
        <v>748</v>
      </c>
      <c r="D153" s="4" t="s">
        <v>1402</v>
      </c>
      <c r="E153" s="4" t="s">
        <v>1340</v>
      </c>
      <c r="F153" s="4">
        <v>2013</v>
      </c>
      <c r="G153" s="4" t="s">
        <v>901</v>
      </c>
      <c r="H153" s="6">
        <v>0</v>
      </c>
      <c r="I153" s="6" t="s">
        <v>97</v>
      </c>
    </row>
    <row r="154" spans="2:9" hidden="1" x14ac:dyDescent="0.25">
      <c r="B154" s="4" t="s">
        <v>334</v>
      </c>
      <c r="C154" s="4" t="s">
        <v>747</v>
      </c>
      <c r="D154" s="4" t="s">
        <v>1402</v>
      </c>
      <c r="E154" s="4" t="s">
        <v>1340</v>
      </c>
      <c r="F154" s="4">
        <v>2013</v>
      </c>
      <c r="G154" s="4" t="s">
        <v>901</v>
      </c>
      <c r="H154" s="6">
        <v>0</v>
      </c>
      <c r="I154" s="6" t="s">
        <v>97</v>
      </c>
    </row>
    <row r="155" spans="2:9" hidden="1" x14ac:dyDescent="0.25">
      <c r="B155" s="4" t="s">
        <v>335</v>
      </c>
      <c r="C155" s="4" t="s">
        <v>749</v>
      </c>
      <c r="D155" s="4" t="s">
        <v>1402</v>
      </c>
      <c r="E155" s="4" t="s">
        <v>1340</v>
      </c>
      <c r="F155" s="4">
        <v>2013</v>
      </c>
      <c r="G155" s="4" t="s">
        <v>901</v>
      </c>
      <c r="H155" s="6">
        <v>0</v>
      </c>
      <c r="I155" s="6" t="s">
        <v>97</v>
      </c>
    </row>
    <row r="156" spans="2:9" hidden="1" x14ac:dyDescent="0.25">
      <c r="B156" s="4" t="s">
        <v>336</v>
      </c>
      <c r="C156" s="4" t="s">
        <v>703</v>
      </c>
      <c r="D156" s="4" t="s">
        <v>1402</v>
      </c>
      <c r="E156" s="4" t="s">
        <v>6</v>
      </c>
      <c r="F156" s="4">
        <v>2013</v>
      </c>
      <c r="G156" s="4" t="s">
        <v>901</v>
      </c>
      <c r="H156" s="6">
        <v>0</v>
      </c>
      <c r="I156" s="6" t="s">
        <v>97</v>
      </c>
    </row>
    <row r="157" spans="2:9" hidden="1" x14ac:dyDescent="0.25">
      <c r="B157" s="4" t="s">
        <v>337</v>
      </c>
      <c r="C157" s="4" t="s">
        <v>702</v>
      </c>
      <c r="D157" s="4" t="s">
        <v>1402</v>
      </c>
      <c r="E157" s="4" t="s">
        <v>6</v>
      </c>
      <c r="F157" s="4">
        <v>2013</v>
      </c>
      <c r="G157" s="4" t="s">
        <v>901</v>
      </c>
      <c r="H157" s="6">
        <v>0</v>
      </c>
      <c r="I157" s="6" t="s">
        <v>97</v>
      </c>
    </row>
    <row r="158" spans="2:9" hidden="1" x14ac:dyDescent="0.25">
      <c r="B158" s="4" t="s">
        <v>378</v>
      </c>
      <c r="C158" s="4" t="s">
        <v>526</v>
      </c>
      <c r="D158" s="4" t="s">
        <v>1402</v>
      </c>
      <c r="E158" s="4" t="s">
        <v>6</v>
      </c>
      <c r="F158" s="4">
        <v>2013</v>
      </c>
      <c r="G158" s="4" t="s">
        <v>901</v>
      </c>
      <c r="H158" s="6">
        <v>0</v>
      </c>
      <c r="I158" s="6" t="s">
        <v>97</v>
      </c>
    </row>
    <row r="159" spans="2:9" hidden="1" x14ac:dyDescent="0.25">
      <c r="B159" s="4" t="s">
        <v>1044</v>
      </c>
      <c r="C159" s="4" t="s">
        <v>1291</v>
      </c>
      <c r="D159" s="4" t="s">
        <v>1402</v>
      </c>
      <c r="E159" s="4" t="s">
        <v>1317</v>
      </c>
      <c r="F159" s="4">
        <v>2013</v>
      </c>
      <c r="G159" s="4" t="s">
        <v>901</v>
      </c>
      <c r="H159" s="6">
        <v>0</v>
      </c>
      <c r="I159" s="6" t="s">
        <v>97</v>
      </c>
    </row>
    <row r="160" spans="2:9" hidden="1" x14ac:dyDescent="0.25">
      <c r="B160" s="4" t="s">
        <v>1045</v>
      </c>
      <c r="C160" s="4" t="s">
        <v>1315</v>
      </c>
      <c r="D160" s="4" t="s">
        <v>1402</v>
      </c>
      <c r="E160" s="4" t="s">
        <v>1317</v>
      </c>
      <c r="F160" s="4">
        <v>2013</v>
      </c>
      <c r="G160" s="4" t="s">
        <v>901</v>
      </c>
      <c r="H160" s="6">
        <v>0</v>
      </c>
      <c r="I160" s="6" t="s">
        <v>97</v>
      </c>
    </row>
    <row r="161" spans="2:9" hidden="1" x14ac:dyDescent="0.25">
      <c r="B161" s="4" t="s">
        <v>1046</v>
      </c>
      <c r="C161" s="4" t="s">
        <v>1316</v>
      </c>
      <c r="D161" s="4" t="s">
        <v>1402</v>
      </c>
      <c r="E161" s="4" t="s">
        <v>1317</v>
      </c>
      <c r="F161" s="4">
        <v>2013</v>
      </c>
      <c r="G161" s="4" t="s">
        <v>901</v>
      </c>
      <c r="H161" s="6">
        <v>0</v>
      </c>
      <c r="I161" s="6" t="s">
        <v>97</v>
      </c>
    </row>
    <row r="162" spans="2:9" hidden="1" x14ac:dyDescent="0.25">
      <c r="B162" s="4" t="s">
        <v>1047</v>
      </c>
      <c r="C162" s="4" t="s">
        <v>1292</v>
      </c>
      <c r="D162" s="4" t="s">
        <v>1402</v>
      </c>
      <c r="E162" s="4" t="s">
        <v>1317</v>
      </c>
      <c r="F162" s="4">
        <v>2013</v>
      </c>
      <c r="G162" s="4" t="s">
        <v>901</v>
      </c>
      <c r="H162" s="6">
        <v>0</v>
      </c>
      <c r="I162" s="6" t="s">
        <v>97</v>
      </c>
    </row>
    <row r="163" spans="2:9" hidden="1" x14ac:dyDescent="0.25">
      <c r="B163" s="4" t="s">
        <v>1048</v>
      </c>
      <c r="C163" s="4" t="s">
        <v>1293</v>
      </c>
      <c r="D163" s="4" t="s">
        <v>1402</v>
      </c>
      <c r="E163" s="4" t="s">
        <v>1317</v>
      </c>
      <c r="F163" s="4">
        <v>2013</v>
      </c>
      <c r="G163" s="4" t="s">
        <v>901</v>
      </c>
      <c r="H163" s="6">
        <v>0</v>
      </c>
      <c r="I163" s="6" t="s">
        <v>97</v>
      </c>
    </row>
    <row r="164" spans="2:9" hidden="1" x14ac:dyDescent="0.25">
      <c r="B164" s="4" t="s">
        <v>1049</v>
      </c>
      <c r="C164" s="4" t="s">
        <v>1294</v>
      </c>
      <c r="D164" s="4" t="s">
        <v>1402</v>
      </c>
      <c r="E164" s="4" t="s">
        <v>1317</v>
      </c>
      <c r="F164" s="4">
        <v>2013</v>
      </c>
      <c r="G164" s="4" t="s">
        <v>901</v>
      </c>
      <c r="H164" s="6">
        <v>0</v>
      </c>
      <c r="I164" s="6" t="s">
        <v>97</v>
      </c>
    </row>
    <row r="165" spans="2:9" x14ac:dyDescent="0.25">
      <c r="B165" s="4" t="s">
        <v>1050</v>
      </c>
      <c r="C165" s="4" t="s">
        <v>1295</v>
      </c>
      <c r="D165" s="4" t="s">
        <v>1402</v>
      </c>
      <c r="E165" s="4" t="s">
        <v>1317</v>
      </c>
      <c r="F165" s="4">
        <v>2013</v>
      </c>
      <c r="G165" s="4" t="s">
        <v>901</v>
      </c>
      <c r="H165" s="6">
        <v>1</v>
      </c>
      <c r="I165" s="6" t="s">
        <v>97</v>
      </c>
    </row>
    <row r="166" spans="2:9" hidden="1" x14ac:dyDescent="0.25">
      <c r="B166" s="4" t="s">
        <v>1051</v>
      </c>
      <c r="C166" s="4" t="s">
        <v>1296</v>
      </c>
      <c r="D166" s="4" t="s">
        <v>1402</v>
      </c>
      <c r="E166" s="4" t="s">
        <v>1317</v>
      </c>
      <c r="F166" s="4">
        <v>2013</v>
      </c>
      <c r="G166" s="4" t="s">
        <v>901</v>
      </c>
      <c r="H166" s="6">
        <v>0</v>
      </c>
      <c r="I166" s="6" t="s">
        <v>97</v>
      </c>
    </row>
    <row r="167" spans="2:9" hidden="1" x14ac:dyDescent="0.25">
      <c r="B167" s="4" t="s">
        <v>1052</v>
      </c>
      <c r="C167" s="4" t="s">
        <v>1297</v>
      </c>
      <c r="D167" s="4" t="s">
        <v>1402</v>
      </c>
      <c r="E167" s="4" t="s">
        <v>1317</v>
      </c>
      <c r="F167" s="4">
        <v>2013</v>
      </c>
      <c r="G167" s="4" t="s">
        <v>901</v>
      </c>
      <c r="H167" s="6">
        <v>0</v>
      </c>
      <c r="I167" s="6" t="s">
        <v>97</v>
      </c>
    </row>
    <row r="168" spans="2:9" hidden="1" x14ac:dyDescent="0.25">
      <c r="B168" s="4" t="s">
        <v>1053</v>
      </c>
      <c r="C168" s="4" t="s">
        <v>1298</v>
      </c>
      <c r="D168" s="4" t="s">
        <v>1402</v>
      </c>
      <c r="E168" s="4" t="s">
        <v>1317</v>
      </c>
      <c r="F168" s="4">
        <v>2013</v>
      </c>
      <c r="G168" s="4" t="s">
        <v>901</v>
      </c>
      <c r="H168" s="6">
        <v>0</v>
      </c>
      <c r="I168" s="6" t="s">
        <v>97</v>
      </c>
    </row>
    <row r="169" spans="2:9" hidden="1" x14ac:dyDescent="0.25">
      <c r="B169" s="4" t="s">
        <v>1054</v>
      </c>
      <c r="C169" s="4" t="s">
        <v>1299</v>
      </c>
      <c r="D169" s="4" t="s">
        <v>1402</v>
      </c>
      <c r="E169" s="4" t="s">
        <v>1317</v>
      </c>
      <c r="F169" s="4">
        <v>2013</v>
      </c>
      <c r="G169" s="4" t="s">
        <v>901</v>
      </c>
      <c r="H169" s="6">
        <v>0</v>
      </c>
      <c r="I169" s="6" t="s">
        <v>97</v>
      </c>
    </row>
    <row r="170" spans="2:9" hidden="1" x14ac:dyDescent="0.25">
      <c r="B170" s="4" t="s">
        <v>1055</v>
      </c>
      <c r="C170" s="4" t="s">
        <v>1300</v>
      </c>
      <c r="D170" s="4" t="s">
        <v>1402</v>
      </c>
      <c r="E170" s="4" t="s">
        <v>1317</v>
      </c>
      <c r="F170" s="4">
        <v>2013</v>
      </c>
      <c r="G170" s="4" t="s">
        <v>901</v>
      </c>
      <c r="H170" s="6">
        <v>0</v>
      </c>
      <c r="I170" s="6" t="s">
        <v>97</v>
      </c>
    </row>
    <row r="171" spans="2:9" x14ac:dyDescent="0.25">
      <c r="B171" s="4" t="s">
        <v>1056</v>
      </c>
      <c r="C171" s="4" t="s">
        <v>1301</v>
      </c>
      <c r="D171" s="4" t="s">
        <v>1402</v>
      </c>
      <c r="E171" s="4" t="s">
        <v>1318</v>
      </c>
      <c r="F171" s="4">
        <v>2013</v>
      </c>
      <c r="G171" s="4" t="s">
        <v>901</v>
      </c>
      <c r="H171" s="6">
        <v>1</v>
      </c>
      <c r="I171" s="6" t="s">
        <v>97</v>
      </c>
    </row>
    <row r="172" spans="2:9" hidden="1" x14ac:dyDescent="0.25">
      <c r="B172" s="4" t="s">
        <v>1057</v>
      </c>
      <c r="C172" s="4" t="s">
        <v>1302</v>
      </c>
      <c r="D172" s="4" t="s">
        <v>1402</v>
      </c>
      <c r="E172" s="4" t="s">
        <v>1318</v>
      </c>
      <c r="F172" s="4">
        <v>2013</v>
      </c>
      <c r="G172" s="4" t="s">
        <v>901</v>
      </c>
      <c r="H172" s="6">
        <v>0</v>
      </c>
      <c r="I172" s="6" t="s">
        <v>97</v>
      </c>
    </row>
    <row r="173" spans="2:9" hidden="1" x14ac:dyDescent="0.25">
      <c r="B173" s="4" t="s">
        <v>1058</v>
      </c>
      <c r="C173" s="4" t="s">
        <v>1303</v>
      </c>
      <c r="D173" s="4" t="s">
        <v>1402</v>
      </c>
      <c r="E173" s="4" t="s">
        <v>1318</v>
      </c>
      <c r="F173" s="4">
        <v>2013</v>
      </c>
      <c r="G173" s="4" t="s">
        <v>901</v>
      </c>
      <c r="H173" s="6">
        <v>0</v>
      </c>
      <c r="I173" s="6" t="s">
        <v>97</v>
      </c>
    </row>
    <row r="174" spans="2:9" hidden="1" x14ac:dyDescent="0.25">
      <c r="B174" s="4" t="s">
        <v>1059</v>
      </c>
      <c r="C174" s="4" t="s">
        <v>1304</v>
      </c>
      <c r="D174" s="4" t="s">
        <v>1402</v>
      </c>
      <c r="E174" s="4" t="s">
        <v>1318</v>
      </c>
      <c r="F174" s="4">
        <v>2013</v>
      </c>
      <c r="G174" s="4" t="s">
        <v>901</v>
      </c>
      <c r="H174" s="6">
        <v>0</v>
      </c>
      <c r="I174" s="6" t="s">
        <v>97</v>
      </c>
    </row>
    <row r="175" spans="2:9" hidden="1" x14ac:dyDescent="0.25">
      <c r="B175" s="4" t="s">
        <v>1060</v>
      </c>
      <c r="C175" s="4" t="s">
        <v>1305</v>
      </c>
      <c r="D175" s="4" t="s">
        <v>1402</v>
      </c>
      <c r="E175" s="4" t="s">
        <v>1318</v>
      </c>
      <c r="F175" s="4">
        <v>2013</v>
      </c>
      <c r="G175" s="4" t="s">
        <v>901</v>
      </c>
      <c r="H175" s="6">
        <v>0</v>
      </c>
      <c r="I175" s="6" t="s">
        <v>97</v>
      </c>
    </row>
    <row r="176" spans="2:9" x14ac:dyDescent="0.25">
      <c r="B176" s="4" t="s">
        <v>1061</v>
      </c>
      <c r="C176" s="4" t="s">
        <v>1306</v>
      </c>
      <c r="D176" s="4" t="s">
        <v>1402</v>
      </c>
      <c r="E176" s="4" t="s">
        <v>1318</v>
      </c>
      <c r="F176" s="4">
        <v>2013</v>
      </c>
      <c r="G176" s="4" t="s">
        <v>901</v>
      </c>
      <c r="H176" s="6">
        <v>1</v>
      </c>
      <c r="I176" s="6" t="s">
        <v>97</v>
      </c>
    </row>
    <row r="177" spans="2:9" hidden="1" x14ac:dyDescent="0.25">
      <c r="B177" s="4" t="s">
        <v>1062</v>
      </c>
      <c r="C177" s="4" t="s">
        <v>1307</v>
      </c>
      <c r="D177" s="4" t="s">
        <v>1402</v>
      </c>
      <c r="E177" s="4" t="s">
        <v>1318</v>
      </c>
      <c r="F177" s="4">
        <v>2013</v>
      </c>
      <c r="G177" s="4" t="s">
        <v>901</v>
      </c>
      <c r="H177" s="6">
        <v>0</v>
      </c>
      <c r="I177" s="6" t="s">
        <v>97</v>
      </c>
    </row>
    <row r="178" spans="2:9" hidden="1" x14ac:dyDescent="0.25">
      <c r="B178" s="4" t="s">
        <v>1063</v>
      </c>
      <c r="C178" s="4" t="s">
        <v>1308</v>
      </c>
      <c r="D178" s="4" t="s">
        <v>1402</v>
      </c>
      <c r="E178" s="4" t="s">
        <v>1317</v>
      </c>
      <c r="F178" s="4">
        <v>2013</v>
      </c>
      <c r="G178" s="4" t="s">
        <v>901</v>
      </c>
      <c r="H178" s="6">
        <v>0</v>
      </c>
      <c r="I178" s="6" t="s">
        <v>97</v>
      </c>
    </row>
    <row r="179" spans="2:9" hidden="1" x14ac:dyDescent="0.25">
      <c r="B179" s="4" t="s">
        <v>1064</v>
      </c>
      <c r="C179" s="4" t="s">
        <v>1309</v>
      </c>
      <c r="D179" s="4" t="s">
        <v>1402</v>
      </c>
      <c r="E179" s="4" t="s">
        <v>1317</v>
      </c>
      <c r="F179" s="4">
        <v>2013</v>
      </c>
      <c r="G179" s="4" t="s">
        <v>901</v>
      </c>
      <c r="H179" s="6">
        <v>0</v>
      </c>
      <c r="I179" s="6" t="s">
        <v>97</v>
      </c>
    </row>
    <row r="180" spans="2:9" hidden="1" x14ac:dyDescent="0.25">
      <c r="B180" s="4" t="s">
        <v>1065</v>
      </c>
      <c r="C180" s="4" t="s">
        <v>1310</v>
      </c>
      <c r="D180" s="4" t="s">
        <v>1402</v>
      </c>
      <c r="E180" s="4" t="s">
        <v>1317</v>
      </c>
      <c r="F180" s="4">
        <v>2013</v>
      </c>
      <c r="G180" s="4" t="s">
        <v>901</v>
      </c>
      <c r="H180" s="6">
        <v>0</v>
      </c>
      <c r="I180" s="6" t="s">
        <v>97</v>
      </c>
    </row>
    <row r="181" spans="2:9" hidden="1" x14ac:dyDescent="0.25">
      <c r="B181" s="4" t="s">
        <v>1066</v>
      </c>
      <c r="C181" s="4" t="s">
        <v>1311</v>
      </c>
      <c r="D181" s="4" t="s">
        <v>1402</v>
      </c>
      <c r="E181" s="4" t="s">
        <v>1317</v>
      </c>
      <c r="F181" s="4">
        <v>2013</v>
      </c>
      <c r="G181" s="4" t="s">
        <v>901</v>
      </c>
      <c r="H181" s="6">
        <v>0</v>
      </c>
      <c r="I181" s="6" t="s">
        <v>97</v>
      </c>
    </row>
    <row r="182" spans="2:9" x14ac:dyDescent="0.25">
      <c r="B182" s="4" t="s">
        <v>1067</v>
      </c>
      <c r="C182" s="4" t="s">
        <v>1312</v>
      </c>
      <c r="D182" s="4" t="s">
        <v>1402</v>
      </c>
      <c r="E182" s="4" t="s">
        <v>1317</v>
      </c>
      <c r="F182" s="4">
        <v>2013</v>
      </c>
      <c r="G182" s="4" t="s">
        <v>901</v>
      </c>
      <c r="H182" s="6">
        <v>1</v>
      </c>
      <c r="I182" s="6" t="s">
        <v>97</v>
      </c>
    </row>
    <row r="183" spans="2:9" hidden="1" x14ac:dyDescent="0.25">
      <c r="B183" s="4" t="s">
        <v>1068</v>
      </c>
      <c r="C183" s="4" t="s">
        <v>1313</v>
      </c>
      <c r="D183" s="4" t="s">
        <v>1402</v>
      </c>
      <c r="E183" s="4" t="s">
        <v>1317</v>
      </c>
      <c r="F183" s="4">
        <v>2013</v>
      </c>
      <c r="G183" s="4" t="s">
        <v>901</v>
      </c>
      <c r="H183" s="6">
        <v>0</v>
      </c>
      <c r="I183" s="6" t="s">
        <v>97</v>
      </c>
    </row>
    <row r="184" spans="2:9" hidden="1" x14ac:dyDescent="0.25">
      <c r="B184" s="4" t="s">
        <v>1069</v>
      </c>
      <c r="C184" s="4" t="s">
        <v>1314</v>
      </c>
      <c r="D184" s="4" t="s">
        <v>1402</v>
      </c>
      <c r="E184" s="4" t="s">
        <v>1317</v>
      </c>
      <c r="F184" s="4">
        <v>2013</v>
      </c>
      <c r="G184" s="4" t="s">
        <v>901</v>
      </c>
      <c r="H184" s="6">
        <v>0</v>
      </c>
      <c r="I184" s="6" t="s">
        <v>97</v>
      </c>
    </row>
    <row r="185" spans="2:9" hidden="1" x14ac:dyDescent="0.25">
      <c r="B185" s="4" t="s">
        <v>1070</v>
      </c>
      <c r="C185" s="4" t="s">
        <v>1319</v>
      </c>
      <c r="D185" s="4" t="s">
        <v>1402</v>
      </c>
      <c r="E185" s="4" t="s">
        <v>1317</v>
      </c>
      <c r="F185" s="4">
        <v>2013</v>
      </c>
      <c r="G185" s="4" t="s">
        <v>901</v>
      </c>
      <c r="H185" s="6">
        <v>0</v>
      </c>
      <c r="I185" s="6" t="s">
        <v>97</v>
      </c>
    </row>
    <row r="186" spans="2:9" hidden="1" x14ac:dyDescent="0.25">
      <c r="B186" s="4" t="s">
        <v>1071</v>
      </c>
      <c r="C186" s="4" t="s">
        <v>1320</v>
      </c>
      <c r="D186" s="4" t="s">
        <v>1402</v>
      </c>
      <c r="E186" s="4" t="s">
        <v>1317</v>
      </c>
      <c r="F186" s="4">
        <v>2013</v>
      </c>
      <c r="G186" s="4" t="s">
        <v>901</v>
      </c>
      <c r="H186" s="6">
        <v>0</v>
      </c>
      <c r="I186" s="6" t="s">
        <v>97</v>
      </c>
    </row>
    <row r="187" spans="2:9" hidden="1" x14ac:dyDescent="0.25">
      <c r="B187" s="4" t="s">
        <v>1072</v>
      </c>
      <c r="C187" s="4" t="s">
        <v>1321</v>
      </c>
      <c r="D187" s="4" t="s">
        <v>1402</v>
      </c>
      <c r="E187" s="4" t="s">
        <v>1317</v>
      </c>
      <c r="F187" s="4">
        <v>2013</v>
      </c>
      <c r="G187" s="4" t="s">
        <v>901</v>
      </c>
      <c r="H187" s="6">
        <v>0</v>
      </c>
      <c r="I187" s="6" t="s">
        <v>97</v>
      </c>
    </row>
    <row r="188" spans="2:9" x14ac:dyDescent="0.25">
      <c r="B188" s="4" t="s">
        <v>1073</v>
      </c>
      <c r="C188" s="4" t="s">
        <v>1322</v>
      </c>
      <c r="D188" s="4" t="s">
        <v>1402</v>
      </c>
      <c r="E188" s="4" t="s">
        <v>1317</v>
      </c>
      <c r="F188" s="4">
        <v>2013</v>
      </c>
      <c r="G188" s="4" t="s">
        <v>901</v>
      </c>
      <c r="H188" s="6">
        <v>1</v>
      </c>
      <c r="I188" s="6" t="s">
        <v>97</v>
      </c>
    </row>
    <row r="189" spans="2:9" x14ac:dyDescent="0.25">
      <c r="B189" s="4" t="s">
        <v>1074</v>
      </c>
      <c r="C189" s="4" t="s">
        <v>1323</v>
      </c>
      <c r="D189" s="4" t="s">
        <v>1402</v>
      </c>
      <c r="E189" s="4" t="s">
        <v>1317</v>
      </c>
      <c r="F189" s="4">
        <v>2013</v>
      </c>
      <c r="G189" s="4" t="s">
        <v>901</v>
      </c>
      <c r="H189" s="6">
        <v>1</v>
      </c>
      <c r="I189" s="6" t="s">
        <v>97</v>
      </c>
    </row>
    <row r="190" spans="2:9" x14ac:dyDescent="0.25">
      <c r="B190" s="4" t="s">
        <v>1075</v>
      </c>
      <c r="C190" s="4" t="s">
        <v>1324</v>
      </c>
      <c r="D190" s="4" t="s">
        <v>1402</v>
      </c>
      <c r="E190" s="4" t="s">
        <v>1317</v>
      </c>
      <c r="F190" s="4">
        <v>2013</v>
      </c>
      <c r="G190" s="4" t="s">
        <v>901</v>
      </c>
      <c r="H190" s="6">
        <v>1</v>
      </c>
      <c r="I190" s="6" t="s">
        <v>97</v>
      </c>
    </row>
    <row r="191" spans="2:9" hidden="1" x14ac:dyDescent="0.25">
      <c r="B191" s="4" t="s">
        <v>1076</v>
      </c>
      <c r="C191" s="4" t="s">
        <v>1325</v>
      </c>
      <c r="D191" s="4" t="s">
        <v>1402</v>
      </c>
      <c r="E191" s="4" t="s">
        <v>1317</v>
      </c>
      <c r="F191" s="4">
        <v>2013</v>
      </c>
      <c r="G191" s="4" t="s">
        <v>901</v>
      </c>
      <c r="H191" s="6">
        <v>0</v>
      </c>
      <c r="I191" s="6" t="s">
        <v>97</v>
      </c>
    </row>
    <row r="192" spans="2:9" hidden="1" x14ac:dyDescent="0.25">
      <c r="B192" s="4" t="s">
        <v>1077</v>
      </c>
      <c r="C192" s="4" t="s">
        <v>1326</v>
      </c>
      <c r="D192" s="4" t="s">
        <v>1402</v>
      </c>
      <c r="E192" s="4" t="s">
        <v>1317</v>
      </c>
      <c r="F192" s="4">
        <v>2013</v>
      </c>
      <c r="G192" s="4" t="s">
        <v>901</v>
      </c>
      <c r="H192" s="6">
        <v>0</v>
      </c>
      <c r="I192" s="6" t="s">
        <v>97</v>
      </c>
    </row>
    <row r="193" spans="2:9" hidden="1" x14ac:dyDescent="0.25">
      <c r="B193" s="4" t="s">
        <v>1078</v>
      </c>
      <c r="C193" s="4" t="s">
        <v>1327</v>
      </c>
      <c r="D193" s="4" t="s">
        <v>1402</v>
      </c>
      <c r="E193" s="4" t="s">
        <v>1317</v>
      </c>
      <c r="F193" s="4">
        <v>2013</v>
      </c>
      <c r="G193" s="4" t="s">
        <v>901</v>
      </c>
      <c r="H193" s="6">
        <v>0</v>
      </c>
      <c r="I193" s="6" t="s">
        <v>97</v>
      </c>
    </row>
    <row r="194" spans="2:9" hidden="1" x14ac:dyDescent="0.25">
      <c r="B194" s="4" t="s">
        <v>1079</v>
      </c>
      <c r="C194" s="4" t="s">
        <v>1328</v>
      </c>
      <c r="D194" s="4" t="s">
        <v>1402</v>
      </c>
      <c r="E194" s="4" t="s">
        <v>1317</v>
      </c>
      <c r="F194" s="4">
        <v>2013</v>
      </c>
      <c r="G194" s="4" t="s">
        <v>901</v>
      </c>
      <c r="H194" s="6">
        <v>0</v>
      </c>
      <c r="I194" s="6" t="s">
        <v>97</v>
      </c>
    </row>
    <row r="195" spans="2:9" hidden="1" x14ac:dyDescent="0.25">
      <c r="B195" s="4" t="s">
        <v>1080</v>
      </c>
      <c r="C195" s="4" t="s">
        <v>1329</v>
      </c>
      <c r="D195" s="4" t="s">
        <v>1402</v>
      </c>
      <c r="E195" s="4" t="s">
        <v>1317</v>
      </c>
      <c r="F195" s="4">
        <v>2013</v>
      </c>
      <c r="G195" s="4" t="s">
        <v>901</v>
      </c>
      <c r="H195" s="6">
        <v>0</v>
      </c>
      <c r="I195" s="6" t="s">
        <v>97</v>
      </c>
    </row>
    <row r="196" spans="2:9" hidden="1" x14ac:dyDescent="0.25">
      <c r="B196" s="4" t="s">
        <v>1081</v>
      </c>
      <c r="C196" s="4" t="s">
        <v>1330</v>
      </c>
      <c r="D196" s="4" t="s">
        <v>1402</v>
      </c>
      <c r="E196" s="4" t="s">
        <v>1317</v>
      </c>
      <c r="F196" s="4">
        <v>2013</v>
      </c>
      <c r="G196" s="4" t="s">
        <v>901</v>
      </c>
      <c r="H196" s="6">
        <v>0</v>
      </c>
      <c r="I196" s="6" t="s">
        <v>97</v>
      </c>
    </row>
    <row r="197" spans="2:9" hidden="1" x14ac:dyDescent="0.25">
      <c r="B197" s="4" t="s">
        <v>1082</v>
      </c>
      <c r="C197" s="4" t="s">
        <v>1331</v>
      </c>
      <c r="D197" s="4" t="s">
        <v>1402</v>
      </c>
      <c r="E197" s="4" t="s">
        <v>1317</v>
      </c>
      <c r="F197" s="4">
        <v>2013</v>
      </c>
      <c r="G197" s="4" t="s">
        <v>901</v>
      </c>
      <c r="H197" s="6">
        <v>0</v>
      </c>
      <c r="I197" s="6" t="s">
        <v>97</v>
      </c>
    </row>
    <row r="198" spans="2:9" hidden="1" x14ac:dyDescent="0.25">
      <c r="B198" s="4" t="s">
        <v>1083</v>
      </c>
      <c r="C198" s="4" t="s">
        <v>1332</v>
      </c>
      <c r="D198" s="4" t="s">
        <v>1402</v>
      </c>
      <c r="E198" s="4" t="s">
        <v>1317</v>
      </c>
      <c r="F198" s="4">
        <v>2013</v>
      </c>
      <c r="G198" s="4" t="s">
        <v>901</v>
      </c>
      <c r="H198" s="6">
        <v>0</v>
      </c>
      <c r="I198" s="6" t="s">
        <v>97</v>
      </c>
    </row>
    <row r="199" spans="2:9" hidden="1" x14ac:dyDescent="0.25">
      <c r="B199" s="4" t="s">
        <v>1084</v>
      </c>
      <c r="C199" s="4" t="s">
        <v>1333</v>
      </c>
      <c r="D199" s="4" t="s">
        <v>1402</v>
      </c>
      <c r="E199" s="4" t="s">
        <v>1317</v>
      </c>
      <c r="F199" s="4">
        <v>2013</v>
      </c>
      <c r="G199" s="4" t="s">
        <v>901</v>
      </c>
      <c r="H199" s="6">
        <v>0</v>
      </c>
      <c r="I199" s="6" t="s">
        <v>97</v>
      </c>
    </row>
    <row r="200" spans="2:9" hidden="1" x14ac:dyDescent="0.25">
      <c r="B200" s="4" t="s">
        <v>1085</v>
      </c>
      <c r="C200" s="4" t="s">
        <v>1334</v>
      </c>
      <c r="D200" s="4" t="s">
        <v>1402</v>
      </c>
      <c r="E200" s="4" t="s">
        <v>1442</v>
      </c>
      <c r="F200" s="4">
        <v>2013</v>
      </c>
      <c r="G200" s="4" t="s">
        <v>901</v>
      </c>
      <c r="H200" s="6">
        <v>0</v>
      </c>
      <c r="I200" s="6" t="s">
        <v>97</v>
      </c>
    </row>
    <row r="201" spans="2:9" x14ac:dyDescent="0.25">
      <c r="B201" s="4" t="s">
        <v>1086</v>
      </c>
      <c r="C201" s="4" t="s">
        <v>1335</v>
      </c>
      <c r="D201" s="4" t="s">
        <v>1402</v>
      </c>
      <c r="E201" s="4" t="s">
        <v>1442</v>
      </c>
      <c r="F201" s="4">
        <v>2013</v>
      </c>
      <c r="G201" s="4" t="s">
        <v>901</v>
      </c>
      <c r="H201" s="6">
        <v>1</v>
      </c>
      <c r="I201" s="6" t="s">
        <v>97</v>
      </c>
    </row>
    <row r="202" spans="2:9" x14ac:dyDescent="0.25">
      <c r="B202" s="4" t="s">
        <v>1087</v>
      </c>
      <c r="C202" s="4" t="s">
        <v>1336</v>
      </c>
      <c r="D202" s="4" t="s">
        <v>1402</v>
      </c>
      <c r="E202" s="4" t="s">
        <v>1441</v>
      </c>
      <c r="F202" s="4">
        <v>2013</v>
      </c>
      <c r="G202" s="4" t="s">
        <v>901</v>
      </c>
      <c r="H202" s="6">
        <v>1</v>
      </c>
      <c r="I202" s="6" t="s">
        <v>97</v>
      </c>
    </row>
    <row r="203" spans="2:9" x14ac:dyDescent="0.25">
      <c r="B203" s="4" t="s">
        <v>1088</v>
      </c>
      <c r="C203" s="4" t="s">
        <v>1337</v>
      </c>
      <c r="D203" s="4" t="s">
        <v>1402</v>
      </c>
      <c r="E203" s="4" t="s">
        <v>1441</v>
      </c>
      <c r="F203" s="4">
        <v>2013</v>
      </c>
      <c r="G203" s="4" t="s">
        <v>901</v>
      </c>
      <c r="H203" s="6">
        <v>1</v>
      </c>
      <c r="I203" s="6" t="s">
        <v>97</v>
      </c>
    </row>
    <row r="204" spans="2:9" x14ac:dyDescent="0.25">
      <c r="B204" s="4" t="s">
        <v>1089</v>
      </c>
      <c r="C204" s="4" t="s">
        <v>1338</v>
      </c>
      <c r="D204" s="4" t="s">
        <v>1402</v>
      </c>
      <c r="E204" s="4" t="s">
        <v>1441</v>
      </c>
      <c r="F204" s="4">
        <v>2013</v>
      </c>
      <c r="G204" s="4" t="s">
        <v>901</v>
      </c>
      <c r="H204" s="6">
        <v>1</v>
      </c>
      <c r="I204" s="6" t="s">
        <v>97</v>
      </c>
    </row>
    <row r="205" spans="2:9" hidden="1" x14ac:dyDescent="0.25">
      <c r="B205" s="4" t="s">
        <v>1090</v>
      </c>
      <c r="C205" s="4" t="s">
        <v>1268</v>
      </c>
      <c r="D205" s="4" t="s">
        <v>1402</v>
      </c>
      <c r="E205" s="4" t="s">
        <v>1317</v>
      </c>
      <c r="F205" s="4">
        <v>2013</v>
      </c>
      <c r="G205" s="4" t="s">
        <v>901</v>
      </c>
      <c r="H205" s="6">
        <v>0</v>
      </c>
      <c r="I205" s="6" t="s">
        <v>97</v>
      </c>
    </row>
    <row r="206" spans="2:9" hidden="1" x14ac:dyDescent="0.25">
      <c r="B206" s="4" t="s">
        <v>1091</v>
      </c>
      <c r="C206" s="4" t="s">
        <v>1269</v>
      </c>
      <c r="D206" s="4" t="s">
        <v>1402</v>
      </c>
      <c r="E206" s="4" t="s">
        <v>1317</v>
      </c>
      <c r="F206" s="4">
        <v>2013</v>
      </c>
      <c r="G206" s="4" t="s">
        <v>901</v>
      </c>
      <c r="H206" s="6">
        <v>0</v>
      </c>
      <c r="I206" s="6" t="s">
        <v>97</v>
      </c>
    </row>
    <row r="207" spans="2:9" x14ac:dyDescent="0.25">
      <c r="B207" s="4" t="s">
        <v>1671</v>
      </c>
      <c r="C207" s="4" t="s">
        <v>17</v>
      </c>
      <c r="D207" s="4" t="s">
        <v>1402</v>
      </c>
      <c r="E207" s="4" t="s">
        <v>1317</v>
      </c>
      <c r="F207" s="4">
        <v>2013</v>
      </c>
      <c r="G207" s="4" t="s">
        <v>901</v>
      </c>
      <c r="H207" s="6">
        <v>1</v>
      </c>
      <c r="I207" s="6" t="s">
        <v>97</v>
      </c>
    </row>
    <row r="208" spans="2:9" x14ac:dyDescent="0.25">
      <c r="B208" s="4" t="s">
        <v>19</v>
      </c>
      <c r="C208" s="4" t="s">
        <v>20</v>
      </c>
      <c r="D208" s="4" t="s">
        <v>1402</v>
      </c>
      <c r="E208" s="4" t="s">
        <v>6</v>
      </c>
      <c r="F208" s="4">
        <v>2013</v>
      </c>
      <c r="G208" s="4" t="s">
        <v>901</v>
      </c>
      <c r="H208" s="6">
        <v>1</v>
      </c>
      <c r="I208" s="6" t="s">
        <v>97</v>
      </c>
    </row>
    <row r="209" spans="2:9" x14ac:dyDescent="0.25">
      <c r="B209" s="4" t="s">
        <v>22</v>
      </c>
      <c r="C209" s="4" t="s">
        <v>23</v>
      </c>
      <c r="D209" s="4" t="s">
        <v>1402</v>
      </c>
      <c r="E209" s="4" t="s">
        <v>6</v>
      </c>
      <c r="F209" s="4">
        <v>2013</v>
      </c>
      <c r="G209" s="4" t="s">
        <v>901</v>
      </c>
      <c r="H209" s="6">
        <v>1</v>
      </c>
      <c r="I209" s="6" t="s">
        <v>97</v>
      </c>
    </row>
    <row r="210" spans="2:9" hidden="1" x14ac:dyDescent="0.25">
      <c r="B210" s="4" t="s">
        <v>1449</v>
      </c>
      <c r="C210" s="4" t="s">
        <v>1470</v>
      </c>
      <c r="D210" s="4" t="s">
        <v>1402</v>
      </c>
      <c r="E210" s="4" t="s">
        <v>1317</v>
      </c>
      <c r="F210" s="4">
        <v>2013</v>
      </c>
      <c r="G210" s="4" t="s">
        <v>901</v>
      </c>
      <c r="H210" s="6">
        <v>0</v>
      </c>
      <c r="I210" s="6" t="s">
        <v>97</v>
      </c>
    </row>
    <row r="211" spans="2:9" hidden="1" x14ac:dyDescent="0.25">
      <c r="B211" s="4" t="s">
        <v>1450</v>
      </c>
      <c r="C211" s="4" t="s">
        <v>1471</v>
      </c>
      <c r="D211" s="4" t="s">
        <v>1402</v>
      </c>
      <c r="E211" s="4" t="s">
        <v>1317</v>
      </c>
      <c r="F211" s="4">
        <v>2013</v>
      </c>
      <c r="G211" s="4" t="s">
        <v>901</v>
      </c>
      <c r="H211" s="6">
        <v>0</v>
      </c>
      <c r="I211" s="6" t="s">
        <v>97</v>
      </c>
    </row>
    <row r="212" spans="2:9" x14ac:dyDescent="0.25">
      <c r="B212" s="4" t="s">
        <v>1578</v>
      </c>
      <c r="C212" s="4" t="s">
        <v>1612</v>
      </c>
      <c r="D212" s="4" t="s">
        <v>1402</v>
      </c>
      <c r="E212" s="4" t="s">
        <v>1620</v>
      </c>
      <c r="F212" s="4">
        <v>2013</v>
      </c>
      <c r="G212" s="4" t="s">
        <v>901</v>
      </c>
      <c r="H212" s="6">
        <v>1</v>
      </c>
      <c r="I212" s="6" t="s">
        <v>97</v>
      </c>
    </row>
    <row r="213" spans="2:9" x14ac:dyDescent="0.25">
      <c r="B213" s="4" t="s">
        <v>1579</v>
      </c>
      <c r="C213" s="4" t="s">
        <v>1613</v>
      </c>
      <c r="D213" s="4" t="s">
        <v>1402</v>
      </c>
      <c r="E213" s="4" t="s">
        <v>1620</v>
      </c>
      <c r="F213" s="4">
        <v>2013</v>
      </c>
      <c r="G213" s="4" t="s">
        <v>901</v>
      </c>
      <c r="H213" s="6">
        <v>1</v>
      </c>
      <c r="I213" s="6" t="s">
        <v>97</v>
      </c>
    </row>
    <row r="214" spans="2:9" x14ac:dyDescent="0.25">
      <c r="B214" s="4" t="s">
        <v>1580</v>
      </c>
      <c r="C214" s="4" t="s">
        <v>1614</v>
      </c>
      <c r="D214" s="4" t="s">
        <v>1402</v>
      </c>
      <c r="E214" s="4" t="s">
        <v>1620</v>
      </c>
      <c r="F214" s="4">
        <v>2013</v>
      </c>
      <c r="G214" s="4" t="s">
        <v>901</v>
      </c>
      <c r="H214" s="6">
        <v>1</v>
      </c>
      <c r="I214" s="6" t="s">
        <v>97</v>
      </c>
    </row>
    <row r="215" spans="2:9" x14ac:dyDescent="0.25">
      <c r="B215" s="4" t="s">
        <v>1581</v>
      </c>
      <c r="C215" s="4" t="s">
        <v>1615</v>
      </c>
      <c r="D215" s="4" t="s">
        <v>1402</v>
      </c>
      <c r="E215" s="4" t="s">
        <v>1620</v>
      </c>
      <c r="F215" s="4">
        <v>2013</v>
      </c>
      <c r="G215" s="4" t="s">
        <v>901</v>
      </c>
      <c r="H215" s="6">
        <v>1</v>
      </c>
      <c r="I215" s="6" t="s">
        <v>97</v>
      </c>
    </row>
    <row r="216" spans="2:9" x14ac:dyDescent="0.25">
      <c r="B216" s="4" t="s">
        <v>1582</v>
      </c>
      <c r="C216" s="4" t="s">
        <v>1616</v>
      </c>
      <c r="D216" s="4" t="s">
        <v>1402</v>
      </c>
      <c r="E216" s="4" t="s">
        <v>1620</v>
      </c>
      <c r="F216" s="4">
        <v>2013</v>
      </c>
      <c r="G216" s="4" t="s">
        <v>901</v>
      </c>
      <c r="H216" s="6">
        <v>1</v>
      </c>
      <c r="I216" s="6" t="s">
        <v>97</v>
      </c>
    </row>
    <row r="217" spans="2:9" x14ac:dyDescent="0.25">
      <c r="B217" s="4" t="s">
        <v>1583</v>
      </c>
      <c r="C217" s="4" t="s">
        <v>1617</v>
      </c>
      <c r="D217" s="4" t="s">
        <v>1402</v>
      </c>
      <c r="E217" s="4" t="s">
        <v>1620</v>
      </c>
      <c r="F217" s="4">
        <v>2013</v>
      </c>
      <c r="G217" s="4" t="s">
        <v>901</v>
      </c>
      <c r="H217" s="6">
        <v>1</v>
      </c>
      <c r="I217" s="6" t="s">
        <v>97</v>
      </c>
    </row>
    <row r="218" spans="2:9" x14ac:dyDescent="0.25">
      <c r="B218" s="4" t="s">
        <v>1584</v>
      </c>
      <c r="C218" s="4" t="s">
        <v>1618</v>
      </c>
      <c r="D218" s="4" t="s">
        <v>1402</v>
      </c>
      <c r="E218" s="4" t="s">
        <v>1620</v>
      </c>
      <c r="F218" s="4">
        <v>2013</v>
      </c>
      <c r="G218" s="4" t="s">
        <v>901</v>
      </c>
      <c r="H218" s="6">
        <v>1</v>
      </c>
      <c r="I218" s="6" t="s">
        <v>97</v>
      </c>
    </row>
    <row r="219" spans="2:9" x14ac:dyDescent="0.25">
      <c r="B219" s="4" t="s">
        <v>1585</v>
      </c>
      <c r="C219" s="4" t="s">
        <v>1619</v>
      </c>
      <c r="D219" s="4" t="s">
        <v>1402</v>
      </c>
      <c r="E219" s="4" t="s">
        <v>1620</v>
      </c>
      <c r="F219" s="4">
        <v>2013</v>
      </c>
      <c r="G219" s="4" t="s">
        <v>901</v>
      </c>
      <c r="H219" s="6">
        <v>1</v>
      </c>
      <c r="I219" s="6" t="s">
        <v>97</v>
      </c>
    </row>
    <row r="220" spans="2:9" hidden="1" x14ac:dyDescent="0.25">
      <c r="B220" s="4" t="s">
        <v>108</v>
      </c>
      <c r="C220" s="4" t="s">
        <v>485</v>
      </c>
      <c r="D220" s="4" t="s">
        <v>1401</v>
      </c>
      <c r="E220" s="4" t="s">
        <v>912</v>
      </c>
      <c r="F220" s="4">
        <v>2013</v>
      </c>
      <c r="G220" s="4" t="s">
        <v>901</v>
      </c>
      <c r="H220" s="6">
        <v>0</v>
      </c>
      <c r="I220" s="6" t="s">
        <v>97</v>
      </c>
    </row>
    <row r="221" spans="2:9" hidden="1" x14ac:dyDescent="0.25">
      <c r="B221" s="4" t="s">
        <v>109</v>
      </c>
      <c r="C221" s="4" t="s">
        <v>581</v>
      </c>
      <c r="D221" s="4" t="s">
        <v>1401</v>
      </c>
      <c r="E221" s="4" t="s">
        <v>912</v>
      </c>
      <c r="F221" s="4">
        <v>2013</v>
      </c>
      <c r="G221" s="4" t="s">
        <v>901</v>
      </c>
      <c r="H221" s="6">
        <v>0</v>
      </c>
      <c r="I221" s="6" t="s">
        <v>97</v>
      </c>
    </row>
    <row r="222" spans="2:9" hidden="1" x14ac:dyDescent="0.25">
      <c r="B222" s="4" t="s">
        <v>110</v>
      </c>
      <c r="C222" s="4" t="s">
        <v>582</v>
      </c>
      <c r="D222" s="4" t="s">
        <v>1401</v>
      </c>
      <c r="E222" s="4" t="s">
        <v>912</v>
      </c>
      <c r="F222" s="4">
        <v>2013</v>
      </c>
      <c r="G222" s="4" t="s">
        <v>901</v>
      </c>
      <c r="H222" s="6">
        <v>0</v>
      </c>
      <c r="I222" s="6" t="s">
        <v>97</v>
      </c>
    </row>
    <row r="223" spans="2:9" hidden="1" x14ac:dyDescent="0.25">
      <c r="B223" s="4" t="s">
        <v>111</v>
      </c>
      <c r="C223" s="4" t="s">
        <v>583</v>
      </c>
      <c r="D223" s="4" t="s">
        <v>1401</v>
      </c>
      <c r="E223" s="4" t="s">
        <v>912</v>
      </c>
      <c r="F223" s="4">
        <v>2013</v>
      </c>
      <c r="G223" s="4" t="s">
        <v>901</v>
      </c>
      <c r="H223" s="6">
        <v>0</v>
      </c>
      <c r="I223" s="6" t="s">
        <v>97</v>
      </c>
    </row>
    <row r="224" spans="2:9" hidden="1" x14ac:dyDescent="0.25">
      <c r="B224" s="4" t="s">
        <v>112</v>
      </c>
      <c r="C224" s="4" t="s">
        <v>656</v>
      </c>
      <c r="D224" s="4" t="s">
        <v>1401</v>
      </c>
      <c r="E224" s="4" t="s">
        <v>912</v>
      </c>
      <c r="F224" s="4">
        <v>2013</v>
      </c>
      <c r="G224" s="4" t="s">
        <v>901</v>
      </c>
      <c r="H224" s="6">
        <v>0</v>
      </c>
      <c r="I224" s="6" t="s">
        <v>97</v>
      </c>
    </row>
    <row r="225" spans="2:9" hidden="1" x14ac:dyDescent="0.25">
      <c r="B225" s="4" t="s">
        <v>113</v>
      </c>
      <c r="C225" s="4" t="s">
        <v>655</v>
      </c>
      <c r="D225" s="4" t="s">
        <v>1401</v>
      </c>
      <c r="E225" s="4" t="s">
        <v>912</v>
      </c>
      <c r="F225" s="4">
        <v>2013</v>
      </c>
      <c r="G225" s="4" t="s">
        <v>901</v>
      </c>
      <c r="H225" s="6">
        <v>0</v>
      </c>
      <c r="I225" s="6" t="s">
        <v>97</v>
      </c>
    </row>
    <row r="226" spans="2:9" hidden="1" x14ac:dyDescent="0.25">
      <c r="B226" s="4" t="s">
        <v>114</v>
      </c>
      <c r="C226" s="4" t="s">
        <v>657</v>
      </c>
      <c r="D226" s="4" t="s">
        <v>1401</v>
      </c>
      <c r="E226" s="4" t="s">
        <v>912</v>
      </c>
      <c r="F226" s="4">
        <v>2013</v>
      </c>
      <c r="G226" s="4" t="s">
        <v>901</v>
      </c>
      <c r="H226" s="6">
        <v>0</v>
      </c>
      <c r="I226" s="6" t="s">
        <v>97</v>
      </c>
    </row>
    <row r="227" spans="2:9" hidden="1" x14ac:dyDescent="0.25">
      <c r="B227" s="4" t="s">
        <v>115</v>
      </c>
      <c r="C227" s="4" t="s">
        <v>658</v>
      </c>
      <c r="D227" s="4" t="s">
        <v>1401</v>
      </c>
      <c r="E227" s="4" t="s">
        <v>912</v>
      </c>
      <c r="F227" s="4">
        <v>2013</v>
      </c>
      <c r="G227" s="4" t="s">
        <v>901</v>
      </c>
      <c r="H227" s="6">
        <v>0</v>
      </c>
      <c r="I227" s="6" t="s">
        <v>97</v>
      </c>
    </row>
    <row r="228" spans="2:9" hidden="1" x14ac:dyDescent="0.25">
      <c r="B228" s="4" t="s">
        <v>116</v>
      </c>
      <c r="C228" s="4" t="s">
        <v>621</v>
      </c>
      <c r="D228" s="4" t="s">
        <v>1401</v>
      </c>
      <c r="E228" s="4" t="s">
        <v>912</v>
      </c>
      <c r="F228" s="4">
        <v>2013</v>
      </c>
      <c r="G228" s="4" t="s">
        <v>901</v>
      </c>
      <c r="H228" s="6">
        <v>0</v>
      </c>
      <c r="I228" s="6" t="s">
        <v>97</v>
      </c>
    </row>
    <row r="229" spans="2:9" hidden="1" x14ac:dyDescent="0.25">
      <c r="B229" s="4" t="s">
        <v>117</v>
      </c>
      <c r="C229" s="4" t="s">
        <v>620</v>
      </c>
      <c r="D229" s="4" t="s">
        <v>1401</v>
      </c>
      <c r="E229" s="4" t="s">
        <v>912</v>
      </c>
      <c r="F229" s="4">
        <v>2013</v>
      </c>
      <c r="G229" s="4" t="s">
        <v>901</v>
      </c>
      <c r="H229" s="6">
        <v>0</v>
      </c>
      <c r="I229" s="6" t="s">
        <v>97</v>
      </c>
    </row>
    <row r="230" spans="2:9" hidden="1" x14ac:dyDescent="0.25">
      <c r="B230" s="4" t="s">
        <v>118</v>
      </c>
      <c r="C230" s="4" t="s">
        <v>622</v>
      </c>
      <c r="D230" s="4" t="s">
        <v>1401</v>
      </c>
      <c r="E230" s="4" t="s">
        <v>912</v>
      </c>
      <c r="F230" s="4">
        <v>2013</v>
      </c>
      <c r="G230" s="4" t="s">
        <v>901</v>
      </c>
      <c r="H230" s="6">
        <v>0</v>
      </c>
      <c r="I230" s="6" t="s">
        <v>97</v>
      </c>
    </row>
    <row r="231" spans="2:9" hidden="1" x14ac:dyDescent="0.25">
      <c r="B231" s="4" t="s">
        <v>119</v>
      </c>
      <c r="C231" s="4" t="s">
        <v>623</v>
      </c>
      <c r="D231" s="4" t="s">
        <v>1401</v>
      </c>
      <c r="E231" s="4" t="s">
        <v>912</v>
      </c>
      <c r="F231" s="4">
        <v>2013</v>
      </c>
      <c r="G231" s="4" t="s">
        <v>901</v>
      </c>
      <c r="H231" s="6">
        <v>0</v>
      </c>
      <c r="I231" s="6" t="s">
        <v>97</v>
      </c>
    </row>
    <row r="232" spans="2:9" hidden="1" x14ac:dyDescent="0.25">
      <c r="B232" s="4" t="s">
        <v>120</v>
      </c>
      <c r="C232" s="4" t="s">
        <v>491</v>
      </c>
      <c r="D232" s="4" t="s">
        <v>1401</v>
      </c>
      <c r="E232" s="4" t="s">
        <v>912</v>
      </c>
      <c r="F232" s="4">
        <v>2013</v>
      </c>
      <c r="G232" s="4" t="s">
        <v>901</v>
      </c>
      <c r="H232" s="6">
        <v>0</v>
      </c>
      <c r="I232" s="6" t="s">
        <v>97</v>
      </c>
    </row>
    <row r="233" spans="2:9" hidden="1" x14ac:dyDescent="0.25">
      <c r="B233" s="4" t="s">
        <v>931</v>
      </c>
      <c r="C233" s="4" t="s">
        <v>584</v>
      </c>
      <c r="D233" s="4" t="s">
        <v>1401</v>
      </c>
      <c r="E233" s="4" t="s">
        <v>912</v>
      </c>
      <c r="F233" s="4">
        <v>2013</v>
      </c>
      <c r="G233" s="4" t="s">
        <v>901</v>
      </c>
      <c r="H233" s="6">
        <v>0</v>
      </c>
      <c r="I233" s="6" t="s">
        <v>97</v>
      </c>
    </row>
    <row r="234" spans="2:9" hidden="1" x14ac:dyDescent="0.25">
      <c r="B234" s="4" t="s">
        <v>121</v>
      </c>
      <c r="C234" s="4" t="s">
        <v>593</v>
      </c>
      <c r="D234" s="4" t="s">
        <v>1401</v>
      </c>
      <c r="E234" s="4" t="s">
        <v>912</v>
      </c>
      <c r="F234" s="4">
        <v>2013</v>
      </c>
      <c r="G234" s="4" t="s">
        <v>901</v>
      </c>
      <c r="H234" s="6">
        <v>0</v>
      </c>
      <c r="I234" s="6" t="s">
        <v>97</v>
      </c>
    </row>
    <row r="235" spans="2:9" hidden="1" x14ac:dyDescent="0.25">
      <c r="B235" s="4" t="s">
        <v>122</v>
      </c>
      <c r="C235" s="4" t="s">
        <v>594</v>
      </c>
      <c r="D235" s="4" t="s">
        <v>1401</v>
      </c>
      <c r="E235" s="4" t="s">
        <v>912</v>
      </c>
      <c r="F235" s="4">
        <v>2013</v>
      </c>
      <c r="G235" s="4" t="s">
        <v>901</v>
      </c>
      <c r="H235" s="6">
        <v>0</v>
      </c>
      <c r="I235" s="6" t="s">
        <v>97</v>
      </c>
    </row>
    <row r="236" spans="2:9" hidden="1" x14ac:dyDescent="0.25">
      <c r="B236" s="4" t="s">
        <v>123</v>
      </c>
      <c r="C236" s="4" t="s">
        <v>660</v>
      </c>
      <c r="D236" s="4" t="s">
        <v>1401</v>
      </c>
      <c r="E236" s="4" t="s">
        <v>912</v>
      </c>
      <c r="F236" s="4">
        <v>2013</v>
      </c>
      <c r="G236" s="4" t="s">
        <v>901</v>
      </c>
      <c r="H236" s="6">
        <v>0</v>
      </c>
      <c r="I236" s="6" t="s">
        <v>97</v>
      </c>
    </row>
    <row r="237" spans="2:9" hidden="1" x14ac:dyDescent="0.25">
      <c r="B237" s="4" t="s">
        <v>124</v>
      </c>
      <c r="C237" s="4" t="s">
        <v>659</v>
      </c>
      <c r="D237" s="4" t="s">
        <v>1401</v>
      </c>
      <c r="E237" s="4" t="s">
        <v>912</v>
      </c>
      <c r="F237" s="4">
        <v>2013</v>
      </c>
      <c r="G237" s="4" t="s">
        <v>901</v>
      </c>
      <c r="H237" s="6">
        <v>0</v>
      </c>
      <c r="I237" s="6" t="s">
        <v>97</v>
      </c>
    </row>
    <row r="238" spans="2:9" hidden="1" x14ac:dyDescent="0.25">
      <c r="B238" s="4" t="s">
        <v>125</v>
      </c>
      <c r="C238" s="4" t="s">
        <v>662</v>
      </c>
      <c r="D238" s="4" t="s">
        <v>1401</v>
      </c>
      <c r="E238" s="4" t="s">
        <v>912</v>
      </c>
      <c r="F238" s="4">
        <v>2013</v>
      </c>
      <c r="G238" s="4" t="s">
        <v>901</v>
      </c>
      <c r="H238" s="6">
        <v>0</v>
      </c>
      <c r="I238" s="6" t="s">
        <v>97</v>
      </c>
    </row>
    <row r="239" spans="2:9" hidden="1" x14ac:dyDescent="0.25">
      <c r="B239" s="4" t="s">
        <v>126</v>
      </c>
      <c r="C239" s="4" t="s">
        <v>663</v>
      </c>
      <c r="D239" s="4" t="s">
        <v>1401</v>
      </c>
      <c r="E239" s="4" t="s">
        <v>912</v>
      </c>
      <c r="F239" s="4">
        <v>2013</v>
      </c>
      <c r="G239" s="4" t="s">
        <v>901</v>
      </c>
      <c r="H239" s="6">
        <v>0</v>
      </c>
      <c r="I239" s="6" t="s">
        <v>97</v>
      </c>
    </row>
    <row r="240" spans="2:9" hidden="1" x14ac:dyDescent="0.25">
      <c r="B240" s="4" t="s">
        <v>127</v>
      </c>
      <c r="C240" s="4" t="s">
        <v>625</v>
      </c>
      <c r="D240" s="4" t="s">
        <v>1401</v>
      </c>
      <c r="E240" s="4" t="s">
        <v>912</v>
      </c>
      <c r="F240" s="4">
        <v>2013</v>
      </c>
      <c r="G240" s="4" t="s">
        <v>901</v>
      </c>
      <c r="H240" s="6">
        <v>0</v>
      </c>
      <c r="I240" s="6" t="s">
        <v>97</v>
      </c>
    </row>
    <row r="241" spans="2:9" hidden="1" x14ac:dyDescent="0.25">
      <c r="B241" s="4" t="s">
        <v>128</v>
      </c>
      <c r="C241" s="4" t="s">
        <v>624</v>
      </c>
      <c r="D241" s="4" t="s">
        <v>1401</v>
      </c>
      <c r="E241" s="4" t="s">
        <v>912</v>
      </c>
      <c r="F241" s="4">
        <v>2013</v>
      </c>
      <c r="G241" s="4" t="s">
        <v>901</v>
      </c>
      <c r="H241" s="6">
        <v>0</v>
      </c>
      <c r="I241" s="6" t="s">
        <v>97</v>
      </c>
    </row>
    <row r="242" spans="2:9" hidden="1" x14ac:dyDescent="0.25">
      <c r="B242" s="4" t="s">
        <v>129</v>
      </c>
      <c r="C242" s="4" t="s">
        <v>627</v>
      </c>
      <c r="D242" s="4" t="s">
        <v>1401</v>
      </c>
      <c r="E242" s="4" t="s">
        <v>912</v>
      </c>
      <c r="F242" s="4">
        <v>2013</v>
      </c>
      <c r="G242" s="4" t="s">
        <v>901</v>
      </c>
      <c r="H242" s="6">
        <v>0</v>
      </c>
      <c r="I242" s="6" t="s">
        <v>97</v>
      </c>
    </row>
    <row r="243" spans="2:9" hidden="1" x14ac:dyDescent="0.25">
      <c r="B243" s="4" t="s">
        <v>130</v>
      </c>
      <c r="C243" s="4" t="s">
        <v>628</v>
      </c>
      <c r="D243" s="4" t="s">
        <v>1401</v>
      </c>
      <c r="E243" s="4" t="s">
        <v>912</v>
      </c>
      <c r="F243" s="4">
        <v>2013</v>
      </c>
      <c r="G243" s="4" t="s">
        <v>901</v>
      </c>
      <c r="H243" s="6">
        <v>0</v>
      </c>
      <c r="I243" s="6" t="s">
        <v>97</v>
      </c>
    </row>
    <row r="244" spans="2:9" hidden="1" x14ac:dyDescent="0.25">
      <c r="B244" s="4" t="s">
        <v>932</v>
      </c>
      <c r="C244" s="4" t="s">
        <v>603</v>
      </c>
      <c r="D244" s="4" t="s">
        <v>1401</v>
      </c>
      <c r="E244" s="4" t="s">
        <v>1698</v>
      </c>
      <c r="F244" s="4">
        <v>2014</v>
      </c>
      <c r="G244" s="4" t="s">
        <v>901</v>
      </c>
      <c r="H244" s="6">
        <v>0</v>
      </c>
      <c r="I244" s="6" t="s">
        <v>97</v>
      </c>
    </row>
    <row r="245" spans="2:9" hidden="1" x14ac:dyDescent="0.25">
      <c r="B245" s="4" t="s">
        <v>933</v>
      </c>
      <c r="C245" s="4" t="s">
        <v>602</v>
      </c>
      <c r="D245" s="4" t="s">
        <v>1401</v>
      </c>
      <c r="E245" s="4" t="s">
        <v>1698</v>
      </c>
      <c r="F245" s="4">
        <v>2015</v>
      </c>
      <c r="G245" s="4" t="s">
        <v>901</v>
      </c>
      <c r="H245" s="6">
        <v>0</v>
      </c>
      <c r="I245" s="6" t="s">
        <v>97</v>
      </c>
    </row>
    <row r="246" spans="2:9" hidden="1" x14ac:dyDescent="0.25">
      <c r="B246" s="4" t="s">
        <v>131</v>
      </c>
      <c r="C246" s="4" t="s">
        <v>604</v>
      </c>
      <c r="D246" s="4" t="s">
        <v>1401</v>
      </c>
      <c r="E246" s="4" t="s">
        <v>1698</v>
      </c>
      <c r="F246" s="4">
        <v>2016</v>
      </c>
      <c r="G246" s="4" t="s">
        <v>901</v>
      </c>
      <c r="H246" s="6">
        <v>0</v>
      </c>
      <c r="I246" s="6" t="s">
        <v>97</v>
      </c>
    </row>
    <row r="247" spans="2:9" hidden="1" x14ac:dyDescent="0.25">
      <c r="B247" s="4" t="s">
        <v>132</v>
      </c>
      <c r="C247" s="4" t="s">
        <v>605</v>
      </c>
      <c r="D247" s="4" t="s">
        <v>1401</v>
      </c>
      <c r="E247" s="4" t="s">
        <v>1698</v>
      </c>
      <c r="F247" s="4">
        <v>2013</v>
      </c>
      <c r="G247" s="4" t="s">
        <v>901</v>
      </c>
      <c r="H247" s="6">
        <v>0</v>
      </c>
      <c r="I247" s="6" t="s">
        <v>97</v>
      </c>
    </row>
    <row r="248" spans="2:9" hidden="1" x14ac:dyDescent="0.25">
      <c r="B248" s="4" t="s">
        <v>133</v>
      </c>
      <c r="C248" s="4" t="s">
        <v>665</v>
      </c>
      <c r="D248" s="4" t="s">
        <v>1401</v>
      </c>
      <c r="E248" s="4" t="s">
        <v>1698</v>
      </c>
      <c r="F248" s="4">
        <v>2013</v>
      </c>
      <c r="G248" s="4" t="s">
        <v>901</v>
      </c>
      <c r="H248" s="6">
        <v>0</v>
      </c>
      <c r="I248" s="6" t="s">
        <v>97</v>
      </c>
    </row>
    <row r="249" spans="2:9" hidden="1" x14ac:dyDescent="0.25">
      <c r="B249" s="4" t="s">
        <v>134</v>
      </c>
      <c r="C249" s="4" t="s">
        <v>630</v>
      </c>
      <c r="D249" s="4" t="s">
        <v>1401</v>
      </c>
      <c r="E249" s="4" t="s">
        <v>1698</v>
      </c>
      <c r="F249" s="4">
        <v>2013</v>
      </c>
      <c r="G249" s="4" t="s">
        <v>901</v>
      </c>
      <c r="H249" s="6">
        <v>0</v>
      </c>
      <c r="I249" s="6" t="s">
        <v>97</v>
      </c>
    </row>
    <row r="250" spans="2:9" hidden="1" x14ac:dyDescent="0.25">
      <c r="B250" s="4" t="s">
        <v>135</v>
      </c>
      <c r="C250" s="4" t="s">
        <v>677</v>
      </c>
      <c r="D250" s="4" t="s">
        <v>1401</v>
      </c>
      <c r="E250" s="4" t="s">
        <v>912</v>
      </c>
      <c r="F250" s="4">
        <v>2013</v>
      </c>
      <c r="G250" s="4" t="s">
        <v>901</v>
      </c>
      <c r="H250" s="6">
        <v>0</v>
      </c>
      <c r="I250" s="6" t="s">
        <v>97</v>
      </c>
    </row>
    <row r="251" spans="2:9" hidden="1" x14ac:dyDescent="0.25">
      <c r="B251" s="4" t="s">
        <v>136</v>
      </c>
      <c r="C251" s="4" t="s">
        <v>667</v>
      </c>
      <c r="D251" s="4" t="s">
        <v>1401</v>
      </c>
      <c r="E251" s="4" t="s">
        <v>912</v>
      </c>
      <c r="F251" s="4">
        <v>2013</v>
      </c>
      <c r="G251" s="4" t="s">
        <v>901</v>
      </c>
      <c r="H251" s="6">
        <v>0</v>
      </c>
      <c r="I251" s="6" t="s">
        <v>97</v>
      </c>
    </row>
    <row r="252" spans="2:9" hidden="1" x14ac:dyDescent="0.25">
      <c r="B252" s="4" t="s">
        <v>137</v>
      </c>
      <c r="C252" s="4" t="s">
        <v>632</v>
      </c>
      <c r="D252" s="4" t="s">
        <v>1401</v>
      </c>
      <c r="E252" s="4" t="s">
        <v>912</v>
      </c>
      <c r="F252" s="4">
        <v>2013</v>
      </c>
      <c r="G252" s="4" t="s">
        <v>901</v>
      </c>
      <c r="H252" s="6">
        <v>0</v>
      </c>
      <c r="I252" s="6" t="s">
        <v>97</v>
      </c>
    </row>
    <row r="253" spans="2:9" hidden="1" x14ac:dyDescent="0.25">
      <c r="B253" s="4" t="s">
        <v>934</v>
      </c>
      <c r="C253" s="4" t="s">
        <v>606</v>
      </c>
      <c r="D253" s="4" t="s">
        <v>1401</v>
      </c>
      <c r="E253" s="4" t="s">
        <v>913</v>
      </c>
      <c r="F253" s="4">
        <v>2012</v>
      </c>
      <c r="G253" s="4" t="s">
        <v>901</v>
      </c>
      <c r="H253" s="6">
        <v>0</v>
      </c>
      <c r="I253" s="6" t="s">
        <v>97</v>
      </c>
    </row>
    <row r="254" spans="2:9" hidden="1" x14ac:dyDescent="0.25">
      <c r="B254" s="4" t="s">
        <v>138</v>
      </c>
      <c r="C254" s="4" t="s">
        <v>666</v>
      </c>
      <c r="D254" s="4" t="s">
        <v>1401</v>
      </c>
      <c r="E254" s="4" t="s">
        <v>913</v>
      </c>
      <c r="F254" s="4">
        <v>2013</v>
      </c>
      <c r="G254" s="4" t="s">
        <v>901</v>
      </c>
      <c r="H254" s="6">
        <v>0</v>
      </c>
      <c r="I254" s="6" t="s">
        <v>97</v>
      </c>
    </row>
    <row r="255" spans="2:9" hidden="1" x14ac:dyDescent="0.25">
      <c r="B255" s="4" t="s">
        <v>139</v>
      </c>
      <c r="C255" s="4" t="s">
        <v>631</v>
      </c>
      <c r="D255" s="4" t="s">
        <v>1401</v>
      </c>
      <c r="E255" s="4" t="s">
        <v>913</v>
      </c>
      <c r="F255" s="4">
        <v>2013</v>
      </c>
      <c r="G255" s="4" t="s">
        <v>901</v>
      </c>
      <c r="H255" s="6">
        <v>0</v>
      </c>
      <c r="I255" s="6" t="s">
        <v>97</v>
      </c>
    </row>
    <row r="256" spans="2:9" hidden="1" x14ac:dyDescent="0.25">
      <c r="B256" s="4" t="s">
        <v>935</v>
      </c>
      <c r="C256" s="4" t="s">
        <v>750</v>
      </c>
      <c r="D256" s="4" t="s">
        <v>1401</v>
      </c>
      <c r="E256" s="4" t="s">
        <v>914</v>
      </c>
      <c r="F256" s="4">
        <v>2012</v>
      </c>
      <c r="G256" s="4" t="s">
        <v>901</v>
      </c>
      <c r="H256" s="6">
        <v>0</v>
      </c>
      <c r="I256" s="6" t="s">
        <v>97</v>
      </c>
    </row>
    <row r="257" spans="2:9" hidden="1" x14ac:dyDescent="0.25">
      <c r="B257" s="4" t="s">
        <v>140</v>
      </c>
      <c r="C257" s="4" t="s">
        <v>674</v>
      </c>
      <c r="D257" s="4" t="s">
        <v>1401</v>
      </c>
      <c r="E257" s="4" t="s">
        <v>914</v>
      </c>
      <c r="F257" s="4">
        <v>2013</v>
      </c>
      <c r="G257" s="4" t="s">
        <v>901</v>
      </c>
      <c r="H257" s="6">
        <v>0</v>
      </c>
      <c r="I257" s="6" t="s">
        <v>97</v>
      </c>
    </row>
    <row r="258" spans="2:9" hidden="1" x14ac:dyDescent="0.25">
      <c r="B258" s="4" t="s">
        <v>141</v>
      </c>
      <c r="C258" s="4" t="s">
        <v>639</v>
      </c>
      <c r="D258" s="4" t="s">
        <v>1401</v>
      </c>
      <c r="E258" s="4" t="s">
        <v>914</v>
      </c>
      <c r="F258" s="4">
        <v>2013</v>
      </c>
      <c r="G258" s="4" t="s">
        <v>901</v>
      </c>
      <c r="H258" s="6">
        <v>0</v>
      </c>
      <c r="I258" s="6" t="s">
        <v>97</v>
      </c>
    </row>
    <row r="259" spans="2:9" hidden="1" x14ac:dyDescent="0.25">
      <c r="B259" s="4" t="s">
        <v>142</v>
      </c>
      <c r="C259" s="4" t="s">
        <v>595</v>
      </c>
      <c r="D259" s="4" t="s">
        <v>1401</v>
      </c>
      <c r="E259" s="4" t="s">
        <v>915</v>
      </c>
      <c r="F259" s="4">
        <v>2013</v>
      </c>
      <c r="G259" s="4" t="s">
        <v>901</v>
      </c>
      <c r="H259" s="6">
        <v>0</v>
      </c>
      <c r="I259" s="6" t="s">
        <v>97</v>
      </c>
    </row>
    <row r="260" spans="2:9" hidden="1" x14ac:dyDescent="0.25">
      <c r="B260" s="4" t="s">
        <v>143</v>
      </c>
      <c r="C260" s="4" t="s">
        <v>664</v>
      </c>
      <c r="D260" s="4" t="s">
        <v>1401</v>
      </c>
      <c r="E260" s="4" t="s">
        <v>915</v>
      </c>
      <c r="F260" s="4">
        <v>2013</v>
      </c>
      <c r="G260" s="4" t="s">
        <v>901</v>
      </c>
      <c r="H260" s="6">
        <v>0</v>
      </c>
      <c r="I260" s="6" t="s">
        <v>97</v>
      </c>
    </row>
    <row r="261" spans="2:9" hidden="1" x14ac:dyDescent="0.25">
      <c r="B261" s="4" t="s">
        <v>144</v>
      </c>
      <c r="C261" s="4" t="s">
        <v>629</v>
      </c>
      <c r="D261" s="4" t="s">
        <v>1401</v>
      </c>
      <c r="E261" s="4" t="s">
        <v>915</v>
      </c>
      <c r="F261" s="4">
        <v>2013</v>
      </c>
      <c r="G261" s="4" t="s">
        <v>901</v>
      </c>
      <c r="H261" s="6">
        <v>0</v>
      </c>
      <c r="I261" s="6" t="s">
        <v>97</v>
      </c>
    </row>
    <row r="262" spans="2:9" hidden="1" x14ac:dyDescent="0.25">
      <c r="B262" s="4" t="s">
        <v>936</v>
      </c>
      <c r="C262" s="4" t="s">
        <v>485</v>
      </c>
      <c r="D262" s="4" t="s">
        <v>1401</v>
      </c>
      <c r="E262" s="4" t="s">
        <v>912</v>
      </c>
      <c r="F262" s="4">
        <v>2013</v>
      </c>
      <c r="G262" s="4" t="s">
        <v>901</v>
      </c>
      <c r="H262" s="6">
        <v>0</v>
      </c>
      <c r="I262" s="6" t="s">
        <v>97</v>
      </c>
    </row>
    <row r="263" spans="2:9" hidden="1" x14ac:dyDescent="0.25">
      <c r="B263" s="4" t="s">
        <v>937</v>
      </c>
      <c r="C263" s="4" t="s">
        <v>486</v>
      </c>
      <c r="D263" s="4" t="s">
        <v>1401</v>
      </c>
      <c r="E263" s="4" t="s">
        <v>916</v>
      </c>
      <c r="F263" s="4">
        <v>2013</v>
      </c>
      <c r="G263" s="4" t="s">
        <v>901</v>
      </c>
      <c r="H263" s="6">
        <v>0</v>
      </c>
      <c r="I263" s="6" t="s">
        <v>97</v>
      </c>
    </row>
    <row r="264" spans="2:9" hidden="1" x14ac:dyDescent="0.25">
      <c r="B264" s="4" t="s">
        <v>938</v>
      </c>
      <c r="C264" s="4" t="s">
        <v>487</v>
      </c>
      <c r="D264" s="4" t="s">
        <v>1401</v>
      </c>
      <c r="E264" s="4" t="s">
        <v>916</v>
      </c>
      <c r="F264" s="4">
        <v>2013</v>
      </c>
      <c r="G264" s="4" t="s">
        <v>901</v>
      </c>
      <c r="H264" s="6">
        <v>0</v>
      </c>
      <c r="I264" s="6" t="s">
        <v>97</v>
      </c>
    </row>
    <row r="265" spans="2:9" hidden="1" x14ac:dyDescent="0.25">
      <c r="B265" s="4" t="s">
        <v>939</v>
      </c>
      <c r="C265" s="4" t="s">
        <v>1116</v>
      </c>
      <c r="D265" s="4" t="s">
        <v>1401</v>
      </c>
      <c r="E265" s="4" t="s">
        <v>916</v>
      </c>
      <c r="F265" s="4">
        <v>2013</v>
      </c>
      <c r="G265" s="4" t="s">
        <v>901</v>
      </c>
      <c r="H265" s="6">
        <v>0</v>
      </c>
      <c r="I265" s="6" t="s">
        <v>97</v>
      </c>
    </row>
    <row r="266" spans="2:9" hidden="1" x14ac:dyDescent="0.25">
      <c r="B266" s="4" t="s">
        <v>940</v>
      </c>
      <c r="C266" s="4" t="s">
        <v>488</v>
      </c>
      <c r="D266" s="4" t="s">
        <v>1401</v>
      </c>
      <c r="E266" s="4" t="s">
        <v>916</v>
      </c>
      <c r="F266" s="4">
        <v>2013</v>
      </c>
      <c r="G266" s="4" t="s">
        <v>901</v>
      </c>
      <c r="H266" s="6">
        <v>0</v>
      </c>
      <c r="I266" s="6" t="s">
        <v>97</v>
      </c>
    </row>
    <row r="267" spans="2:9" hidden="1" x14ac:dyDescent="0.25">
      <c r="B267" s="4" t="s">
        <v>941</v>
      </c>
      <c r="C267" s="4" t="s">
        <v>489</v>
      </c>
      <c r="D267" s="4" t="s">
        <v>1401</v>
      </c>
      <c r="E267" s="4" t="s">
        <v>916</v>
      </c>
      <c r="F267" s="4">
        <v>2013</v>
      </c>
      <c r="G267" s="4" t="s">
        <v>901</v>
      </c>
      <c r="H267" s="6">
        <v>0</v>
      </c>
      <c r="I267" s="6" t="s">
        <v>97</v>
      </c>
    </row>
    <row r="268" spans="2:9" hidden="1" x14ac:dyDescent="0.25">
      <c r="B268" s="4" t="s">
        <v>942</v>
      </c>
      <c r="C268" s="4" t="s">
        <v>490</v>
      </c>
      <c r="D268" s="4" t="s">
        <v>1401</v>
      </c>
      <c r="E268" s="4" t="s">
        <v>916</v>
      </c>
      <c r="F268" s="4">
        <v>2013</v>
      </c>
      <c r="G268" s="4" t="s">
        <v>901</v>
      </c>
      <c r="H268" s="6">
        <v>0</v>
      </c>
      <c r="I268" s="6" t="s">
        <v>97</v>
      </c>
    </row>
    <row r="269" spans="2:9" hidden="1" x14ac:dyDescent="0.25">
      <c r="B269" s="4" t="s">
        <v>145</v>
      </c>
      <c r="C269" s="4" t="s">
        <v>491</v>
      </c>
      <c r="D269" s="4" t="s">
        <v>1401</v>
      </c>
      <c r="E269" s="4" t="s">
        <v>912</v>
      </c>
      <c r="F269" s="4">
        <v>2013</v>
      </c>
      <c r="G269" s="4" t="s">
        <v>901</v>
      </c>
      <c r="H269" s="6">
        <v>0</v>
      </c>
      <c r="I269" s="6" t="s">
        <v>97</v>
      </c>
    </row>
    <row r="270" spans="2:9" hidden="1" x14ac:dyDescent="0.25">
      <c r="B270" s="4" t="s">
        <v>146</v>
      </c>
      <c r="C270" s="4" t="s">
        <v>492</v>
      </c>
      <c r="D270" s="4" t="s">
        <v>1401</v>
      </c>
      <c r="E270" s="4" t="s">
        <v>916</v>
      </c>
      <c r="F270" s="4">
        <v>2013</v>
      </c>
      <c r="G270" s="4" t="s">
        <v>901</v>
      </c>
      <c r="H270" s="6">
        <v>0</v>
      </c>
      <c r="I270" s="6" t="s">
        <v>97</v>
      </c>
    </row>
    <row r="271" spans="2:9" hidden="1" x14ac:dyDescent="0.25">
      <c r="B271" s="4" t="s">
        <v>147</v>
      </c>
      <c r="C271" s="4" t="s">
        <v>493</v>
      </c>
      <c r="D271" s="4" t="s">
        <v>1401</v>
      </c>
      <c r="E271" s="4" t="s">
        <v>916</v>
      </c>
      <c r="F271" s="4">
        <v>2013</v>
      </c>
      <c r="G271" s="4" t="s">
        <v>901</v>
      </c>
      <c r="H271" s="6">
        <v>0</v>
      </c>
      <c r="I271" s="6" t="s">
        <v>97</v>
      </c>
    </row>
    <row r="272" spans="2:9" hidden="1" x14ac:dyDescent="0.25">
      <c r="B272" s="4" t="s">
        <v>148</v>
      </c>
      <c r="C272" s="4" t="s">
        <v>494</v>
      </c>
      <c r="D272" s="4" t="s">
        <v>1401</v>
      </c>
      <c r="E272" s="4" t="s">
        <v>916</v>
      </c>
      <c r="F272" s="4">
        <v>2013</v>
      </c>
      <c r="G272" s="4" t="s">
        <v>901</v>
      </c>
      <c r="H272" s="6">
        <v>0</v>
      </c>
      <c r="I272" s="6" t="s">
        <v>97</v>
      </c>
    </row>
    <row r="273" spans="2:9" hidden="1" x14ac:dyDescent="0.25">
      <c r="B273" s="4" t="s">
        <v>149</v>
      </c>
      <c r="C273" s="4" t="s">
        <v>495</v>
      </c>
      <c r="D273" s="4" t="s">
        <v>1401</v>
      </c>
      <c r="E273" s="4" t="s">
        <v>916</v>
      </c>
      <c r="F273" s="4">
        <v>2013</v>
      </c>
      <c r="G273" s="4" t="s">
        <v>901</v>
      </c>
      <c r="H273" s="6">
        <v>0</v>
      </c>
      <c r="I273" s="6" t="s">
        <v>97</v>
      </c>
    </row>
    <row r="274" spans="2:9" hidden="1" x14ac:dyDescent="0.25">
      <c r="B274" s="4" t="s">
        <v>150</v>
      </c>
      <c r="C274" s="4" t="s">
        <v>496</v>
      </c>
      <c r="D274" s="4" t="s">
        <v>1401</v>
      </c>
      <c r="E274" s="4" t="s">
        <v>916</v>
      </c>
      <c r="F274" s="4">
        <v>2013</v>
      </c>
      <c r="G274" s="4" t="s">
        <v>901</v>
      </c>
      <c r="H274" s="6">
        <v>0</v>
      </c>
      <c r="I274" s="6" t="s">
        <v>97</v>
      </c>
    </row>
    <row r="275" spans="2:9" hidden="1" x14ac:dyDescent="0.25">
      <c r="B275" s="4" t="s">
        <v>151</v>
      </c>
      <c r="C275" s="4" t="s">
        <v>497</v>
      </c>
      <c r="D275" s="4" t="s">
        <v>1401</v>
      </c>
      <c r="E275" s="4" t="s">
        <v>916</v>
      </c>
      <c r="F275" s="4">
        <v>2013</v>
      </c>
      <c r="G275" s="4" t="s">
        <v>901</v>
      </c>
      <c r="H275" s="6">
        <v>0</v>
      </c>
      <c r="I275" s="6" t="s">
        <v>97</v>
      </c>
    </row>
    <row r="276" spans="2:9" hidden="1" x14ac:dyDescent="0.25">
      <c r="B276" s="4" t="s">
        <v>152</v>
      </c>
      <c r="C276" s="4" t="s">
        <v>585</v>
      </c>
      <c r="D276" s="4" t="s">
        <v>1401</v>
      </c>
      <c r="E276" s="4" t="s">
        <v>912</v>
      </c>
      <c r="F276" s="4">
        <v>2013</v>
      </c>
      <c r="G276" s="4" t="s">
        <v>901</v>
      </c>
      <c r="H276" s="6">
        <v>0</v>
      </c>
      <c r="I276" s="6" t="s">
        <v>97</v>
      </c>
    </row>
    <row r="277" spans="2:9" hidden="1" x14ac:dyDescent="0.25">
      <c r="B277" s="4" t="s">
        <v>153</v>
      </c>
      <c r="C277" s="4" t="s">
        <v>661</v>
      </c>
      <c r="D277" s="4" t="s">
        <v>1401</v>
      </c>
      <c r="E277" s="4" t="s">
        <v>912</v>
      </c>
      <c r="F277" s="4">
        <v>2013</v>
      </c>
      <c r="G277" s="4" t="s">
        <v>901</v>
      </c>
      <c r="H277" s="6">
        <v>0</v>
      </c>
      <c r="I277" s="6" t="s">
        <v>97</v>
      </c>
    </row>
    <row r="278" spans="2:9" hidden="1" x14ac:dyDescent="0.25">
      <c r="B278" s="4" t="s">
        <v>154</v>
      </c>
      <c r="C278" s="4" t="s">
        <v>626</v>
      </c>
      <c r="D278" s="4" t="s">
        <v>1401</v>
      </c>
      <c r="E278" s="4" t="s">
        <v>912</v>
      </c>
      <c r="F278" s="4">
        <v>2013</v>
      </c>
      <c r="G278" s="4" t="s">
        <v>901</v>
      </c>
      <c r="H278" s="6">
        <v>0</v>
      </c>
      <c r="I278" s="6" t="s">
        <v>97</v>
      </c>
    </row>
    <row r="279" spans="2:9" hidden="1" x14ac:dyDescent="0.25">
      <c r="B279" s="4" t="s">
        <v>155</v>
      </c>
      <c r="C279" s="4" t="s">
        <v>810</v>
      </c>
      <c r="D279" s="4" t="s">
        <v>1401</v>
      </c>
      <c r="E279" s="4" t="s">
        <v>917</v>
      </c>
      <c r="F279" s="4">
        <v>2013</v>
      </c>
      <c r="G279" s="4" t="s">
        <v>901</v>
      </c>
      <c r="H279" s="6">
        <v>0</v>
      </c>
      <c r="I279" s="6" t="s">
        <v>97</v>
      </c>
    </row>
    <row r="280" spans="2:9" hidden="1" x14ac:dyDescent="0.25">
      <c r="B280" s="4" t="s">
        <v>156</v>
      </c>
      <c r="C280" s="4" t="s">
        <v>675</v>
      </c>
      <c r="D280" s="4" t="s">
        <v>1401</v>
      </c>
      <c r="E280" s="4" t="s">
        <v>917</v>
      </c>
      <c r="F280" s="4">
        <v>2013</v>
      </c>
      <c r="G280" s="4" t="s">
        <v>901</v>
      </c>
      <c r="H280" s="6">
        <v>0</v>
      </c>
      <c r="I280" s="6" t="s">
        <v>97</v>
      </c>
    </row>
    <row r="281" spans="2:9" hidden="1" x14ac:dyDescent="0.25">
      <c r="B281" s="4" t="s">
        <v>157</v>
      </c>
      <c r="C281" s="4" t="s">
        <v>640</v>
      </c>
      <c r="D281" s="4" t="s">
        <v>1401</v>
      </c>
      <c r="E281" s="4" t="s">
        <v>917</v>
      </c>
      <c r="F281" s="4">
        <v>2013</v>
      </c>
      <c r="G281" s="4" t="s">
        <v>901</v>
      </c>
      <c r="H281" s="6">
        <v>0</v>
      </c>
      <c r="I281" s="6" t="s">
        <v>97</v>
      </c>
    </row>
    <row r="282" spans="2:9" hidden="1" x14ac:dyDescent="0.25">
      <c r="B282" s="4" t="s">
        <v>158</v>
      </c>
      <c r="C282" s="4" t="s">
        <v>696</v>
      </c>
      <c r="D282" s="4" t="s">
        <v>1401</v>
      </c>
      <c r="E282" s="4" t="s">
        <v>917</v>
      </c>
      <c r="F282" s="4">
        <v>2013</v>
      </c>
      <c r="G282" s="4" t="s">
        <v>901</v>
      </c>
      <c r="H282" s="6">
        <v>0</v>
      </c>
      <c r="I282" s="6" t="s">
        <v>97</v>
      </c>
    </row>
    <row r="283" spans="2:9" hidden="1" x14ac:dyDescent="0.25">
      <c r="B283" s="4" t="s">
        <v>159</v>
      </c>
      <c r="C283" s="4" t="s">
        <v>668</v>
      </c>
      <c r="D283" s="4" t="s">
        <v>1401</v>
      </c>
      <c r="E283" s="4" t="s">
        <v>917</v>
      </c>
      <c r="F283" s="4">
        <v>2013</v>
      </c>
      <c r="G283" s="4" t="s">
        <v>901</v>
      </c>
      <c r="H283" s="6">
        <v>0</v>
      </c>
      <c r="I283" s="6" t="s">
        <v>97</v>
      </c>
    </row>
    <row r="284" spans="2:9" hidden="1" x14ac:dyDescent="0.25">
      <c r="B284" s="4" t="s">
        <v>160</v>
      </c>
      <c r="C284" s="4" t="s">
        <v>633</v>
      </c>
      <c r="D284" s="4" t="s">
        <v>1401</v>
      </c>
      <c r="E284" s="4" t="s">
        <v>917</v>
      </c>
      <c r="F284" s="4">
        <v>2013</v>
      </c>
      <c r="G284" s="4" t="s">
        <v>901</v>
      </c>
      <c r="H284" s="6">
        <v>0</v>
      </c>
      <c r="I284" s="6" t="s">
        <v>97</v>
      </c>
    </row>
    <row r="285" spans="2:9" hidden="1" x14ac:dyDescent="0.25">
      <c r="B285" s="4" t="s">
        <v>161</v>
      </c>
      <c r="C285" s="4" t="s">
        <v>592</v>
      </c>
      <c r="D285" s="4" t="s">
        <v>1401</v>
      </c>
      <c r="E285" s="4" t="s">
        <v>917</v>
      </c>
      <c r="F285" s="4">
        <v>2013</v>
      </c>
      <c r="G285" s="4" t="s">
        <v>901</v>
      </c>
      <c r="H285" s="6">
        <v>0</v>
      </c>
      <c r="I285" s="6" t="s">
        <v>97</v>
      </c>
    </row>
    <row r="286" spans="2:9" hidden="1" x14ac:dyDescent="0.25">
      <c r="B286" s="4" t="s">
        <v>162</v>
      </c>
      <c r="C286" s="4" t="s">
        <v>816</v>
      </c>
      <c r="D286" s="4" t="s">
        <v>1401</v>
      </c>
      <c r="E286" s="4" t="s">
        <v>917</v>
      </c>
      <c r="F286" s="4">
        <v>2013</v>
      </c>
      <c r="G286" s="4" t="s">
        <v>901</v>
      </c>
      <c r="H286" s="6">
        <v>0</v>
      </c>
      <c r="I286" s="6" t="s">
        <v>97</v>
      </c>
    </row>
    <row r="287" spans="2:9" hidden="1" x14ac:dyDescent="0.25">
      <c r="B287" s="4" t="s">
        <v>163</v>
      </c>
      <c r="C287" s="4" t="s">
        <v>676</v>
      </c>
      <c r="D287" s="4" t="s">
        <v>1401</v>
      </c>
      <c r="E287" s="4" t="s">
        <v>917</v>
      </c>
      <c r="F287" s="4">
        <v>2013</v>
      </c>
      <c r="G287" s="4" t="s">
        <v>901</v>
      </c>
      <c r="H287" s="6">
        <v>0</v>
      </c>
      <c r="I287" s="6" t="s">
        <v>97</v>
      </c>
    </row>
    <row r="288" spans="2:9" hidden="1" x14ac:dyDescent="0.25">
      <c r="B288" s="4" t="s">
        <v>164</v>
      </c>
      <c r="C288" s="4" t="s">
        <v>641</v>
      </c>
      <c r="D288" s="4" t="s">
        <v>1401</v>
      </c>
      <c r="E288" s="4" t="s">
        <v>917</v>
      </c>
      <c r="F288" s="4">
        <v>2013</v>
      </c>
      <c r="G288" s="4" t="s">
        <v>901</v>
      </c>
      <c r="H288" s="6">
        <v>0</v>
      </c>
      <c r="I288" s="6" t="s">
        <v>97</v>
      </c>
    </row>
    <row r="289" spans="2:9" hidden="1" x14ac:dyDescent="0.25">
      <c r="B289" s="4" t="s">
        <v>165</v>
      </c>
      <c r="C289" s="4" t="s">
        <v>700</v>
      </c>
      <c r="D289" s="4" t="s">
        <v>1401</v>
      </c>
      <c r="E289" s="4" t="s">
        <v>917</v>
      </c>
      <c r="F289" s="4">
        <v>2013</v>
      </c>
      <c r="G289" s="4" t="s">
        <v>901</v>
      </c>
      <c r="H289" s="6">
        <v>0</v>
      </c>
      <c r="I289" s="6" t="s">
        <v>97</v>
      </c>
    </row>
    <row r="290" spans="2:9" hidden="1" x14ac:dyDescent="0.25">
      <c r="B290" s="4" t="s">
        <v>166</v>
      </c>
      <c r="C290" s="4" t="s">
        <v>813</v>
      </c>
      <c r="D290" s="4" t="s">
        <v>1401</v>
      </c>
      <c r="E290" s="4" t="s">
        <v>917</v>
      </c>
      <c r="F290" s="4">
        <v>2013</v>
      </c>
      <c r="G290" s="4" t="s">
        <v>901</v>
      </c>
      <c r="H290" s="6">
        <v>0</v>
      </c>
      <c r="I290" s="6" t="s">
        <v>97</v>
      </c>
    </row>
    <row r="291" spans="2:9" hidden="1" x14ac:dyDescent="0.25">
      <c r="B291" s="4" t="s">
        <v>167</v>
      </c>
      <c r="C291" s="4" t="s">
        <v>812</v>
      </c>
      <c r="D291" s="4" t="s">
        <v>1401</v>
      </c>
      <c r="E291" s="4" t="s">
        <v>917</v>
      </c>
      <c r="F291" s="4">
        <v>2013</v>
      </c>
      <c r="G291" s="4" t="s">
        <v>901</v>
      </c>
      <c r="H291" s="6">
        <v>0</v>
      </c>
      <c r="I291" s="6" t="s">
        <v>97</v>
      </c>
    </row>
    <row r="292" spans="2:9" hidden="1" x14ac:dyDescent="0.25">
      <c r="B292" s="4" t="s">
        <v>168</v>
      </c>
      <c r="C292" s="4" t="s">
        <v>815</v>
      </c>
      <c r="D292" s="4" t="s">
        <v>1401</v>
      </c>
      <c r="E292" s="4" t="s">
        <v>917</v>
      </c>
      <c r="F292" s="4">
        <v>2013</v>
      </c>
      <c r="G292" s="4" t="s">
        <v>901</v>
      </c>
      <c r="H292" s="6">
        <v>0</v>
      </c>
      <c r="I292" s="6" t="s">
        <v>97</v>
      </c>
    </row>
    <row r="293" spans="2:9" hidden="1" x14ac:dyDescent="0.25">
      <c r="B293" s="4" t="s">
        <v>169</v>
      </c>
      <c r="C293" s="4" t="s">
        <v>814</v>
      </c>
      <c r="D293" s="4" t="s">
        <v>1401</v>
      </c>
      <c r="E293" s="4" t="s">
        <v>917</v>
      </c>
      <c r="F293" s="4">
        <v>2013</v>
      </c>
      <c r="G293" s="4" t="s">
        <v>901</v>
      </c>
      <c r="H293" s="6">
        <v>0</v>
      </c>
      <c r="I293" s="6" t="s">
        <v>97</v>
      </c>
    </row>
    <row r="294" spans="2:9" hidden="1" x14ac:dyDescent="0.25">
      <c r="B294" s="4" t="s">
        <v>170</v>
      </c>
      <c r="C294" s="4" t="s">
        <v>811</v>
      </c>
      <c r="D294" s="4" t="s">
        <v>1401</v>
      </c>
      <c r="E294" s="4" t="s">
        <v>917</v>
      </c>
      <c r="F294" s="4">
        <v>2013</v>
      </c>
      <c r="G294" s="4" t="s">
        <v>901</v>
      </c>
      <c r="H294" s="6">
        <v>0</v>
      </c>
      <c r="I294" s="6" t="s">
        <v>97</v>
      </c>
    </row>
    <row r="295" spans="2:9" hidden="1" x14ac:dyDescent="0.25">
      <c r="B295" s="4" t="s">
        <v>171</v>
      </c>
      <c r="C295" s="4" t="s">
        <v>699</v>
      </c>
      <c r="D295" s="4" t="s">
        <v>1401</v>
      </c>
      <c r="E295" s="4" t="s">
        <v>917</v>
      </c>
      <c r="F295" s="4">
        <v>2013</v>
      </c>
      <c r="G295" s="4" t="s">
        <v>901</v>
      </c>
      <c r="H295" s="6">
        <v>0</v>
      </c>
      <c r="I295" s="6" t="s">
        <v>97</v>
      </c>
    </row>
    <row r="296" spans="2:9" hidden="1" x14ac:dyDescent="0.25">
      <c r="B296" s="4" t="s">
        <v>172</v>
      </c>
      <c r="C296" s="4" t="s">
        <v>698</v>
      </c>
      <c r="D296" s="4" t="s">
        <v>1401</v>
      </c>
      <c r="E296" s="4" t="s">
        <v>917</v>
      </c>
      <c r="F296" s="4">
        <v>2013</v>
      </c>
      <c r="G296" s="4" t="s">
        <v>901</v>
      </c>
      <c r="H296" s="6">
        <v>0</v>
      </c>
      <c r="I296" s="6" t="s">
        <v>97</v>
      </c>
    </row>
    <row r="297" spans="2:9" hidden="1" x14ac:dyDescent="0.25">
      <c r="B297" s="4" t="s">
        <v>173</v>
      </c>
      <c r="C297" s="4" t="s">
        <v>697</v>
      </c>
      <c r="D297" s="4" t="s">
        <v>1401</v>
      </c>
      <c r="E297" s="4" t="s">
        <v>917</v>
      </c>
      <c r="F297" s="4">
        <v>2013</v>
      </c>
      <c r="G297" s="4" t="s">
        <v>901</v>
      </c>
      <c r="H297" s="6">
        <v>0</v>
      </c>
      <c r="I297" s="6" t="s">
        <v>97</v>
      </c>
    </row>
    <row r="298" spans="2:9" hidden="1" x14ac:dyDescent="0.25">
      <c r="B298" s="4" t="s">
        <v>174</v>
      </c>
      <c r="C298" s="4" t="s">
        <v>586</v>
      </c>
      <c r="D298" s="4" t="s">
        <v>1401</v>
      </c>
      <c r="E298" s="4" t="s">
        <v>912</v>
      </c>
      <c r="F298" s="4">
        <v>2013</v>
      </c>
      <c r="G298" s="4" t="s">
        <v>901</v>
      </c>
      <c r="H298" s="6">
        <v>0</v>
      </c>
      <c r="I298" s="6" t="s">
        <v>97</v>
      </c>
    </row>
    <row r="299" spans="2:9" hidden="1" x14ac:dyDescent="0.25">
      <c r="B299" s="4" t="s">
        <v>175</v>
      </c>
      <c r="C299" s="4" t="s">
        <v>588</v>
      </c>
      <c r="D299" s="4" t="s">
        <v>1401</v>
      </c>
      <c r="E299" s="4" t="s">
        <v>912</v>
      </c>
      <c r="F299" s="4">
        <v>2013</v>
      </c>
      <c r="G299" s="4" t="s">
        <v>901</v>
      </c>
      <c r="H299" s="6">
        <v>0</v>
      </c>
      <c r="I299" s="6" t="s">
        <v>97</v>
      </c>
    </row>
    <row r="300" spans="2:9" hidden="1" x14ac:dyDescent="0.25">
      <c r="B300" s="4" t="s">
        <v>176</v>
      </c>
      <c r="C300" s="4" t="s">
        <v>587</v>
      </c>
      <c r="D300" s="4" t="s">
        <v>1401</v>
      </c>
      <c r="E300" s="4" t="s">
        <v>912</v>
      </c>
      <c r="F300" s="4">
        <v>2013</v>
      </c>
      <c r="G300" s="4" t="s">
        <v>901</v>
      </c>
      <c r="H300" s="6">
        <v>0</v>
      </c>
      <c r="I300" s="6" t="s">
        <v>97</v>
      </c>
    </row>
    <row r="301" spans="2:9" hidden="1" x14ac:dyDescent="0.25">
      <c r="B301" s="4" t="s">
        <v>177</v>
      </c>
      <c r="C301" s="4" t="s">
        <v>589</v>
      </c>
      <c r="D301" s="4" t="s">
        <v>1401</v>
      </c>
      <c r="E301" s="4" t="s">
        <v>912</v>
      </c>
      <c r="F301" s="4">
        <v>2013</v>
      </c>
      <c r="G301" s="4" t="s">
        <v>901</v>
      </c>
      <c r="H301" s="6">
        <v>0</v>
      </c>
      <c r="I301" s="6" t="s">
        <v>97</v>
      </c>
    </row>
    <row r="302" spans="2:9" hidden="1" x14ac:dyDescent="0.25">
      <c r="B302" s="4" t="s">
        <v>178</v>
      </c>
      <c r="C302" s="4" t="s">
        <v>590</v>
      </c>
      <c r="D302" s="4" t="s">
        <v>1401</v>
      </c>
      <c r="E302" s="4" t="s">
        <v>912</v>
      </c>
      <c r="F302" s="4">
        <v>2013</v>
      </c>
      <c r="G302" s="4" t="s">
        <v>901</v>
      </c>
      <c r="H302" s="6">
        <v>0</v>
      </c>
      <c r="I302" s="6" t="s">
        <v>97</v>
      </c>
    </row>
    <row r="303" spans="2:9" hidden="1" x14ac:dyDescent="0.25">
      <c r="B303" s="4" t="s">
        <v>179</v>
      </c>
      <c r="C303" s="4" t="s">
        <v>591</v>
      </c>
      <c r="D303" s="4" t="s">
        <v>1401</v>
      </c>
      <c r="E303" s="4" t="s">
        <v>912</v>
      </c>
      <c r="F303" s="4">
        <v>2013</v>
      </c>
      <c r="G303" s="4" t="s">
        <v>901</v>
      </c>
      <c r="H303" s="6">
        <v>0</v>
      </c>
      <c r="I303" s="6" t="s">
        <v>97</v>
      </c>
    </row>
    <row r="304" spans="2:9" hidden="1" x14ac:dyDescent="0.25">
      <c r="B304" s="4" t="s">
        <v>180</v>
      </c>
      <c r="C304" s="4" t="s">
        <v>498</v>
      </c>
      <c r="D304" s="4" t="s">
        <v>1401</v>
      </c>
      <c r="E304" s="4" t="s">
        <v>912</v>
      </c>
      <c r="F304" s="4">
        <v>2013</v>
      </c>
      <c r="G304" s="4" t="s">
        <v>901</v>
      </c>
      <c r="H304" s="6">
        <v>0</v>
      </c>
      <c r="I304" s="6" t="s">
        <v>97</v>
      </c>
    </row>
    <row r="305" spans="2:9" hidden="1" x14ac:dyDescent="0.25">
      <c r="B305" s="4" t="s">
        <v>181</v>
      </c>
      <c r="C305" s="4" t="s">
        <v>501</v>
      </c>
      <c r="D305" s="4" t="s">
        <v>1401</v>
      </c>
      <c r="E305" s="4" t="s">
        <v>912</v>
      </c>
      <c r="F305" s="4">
        <v>2013</v>
      </c>
      <c r="G305" s="4" t="s">
        <v>901</v>
      </c>
      <c r="H305" s="6">
        <v>0</v>
      </c>
      <c r="I305" s="6" t="s">
        <v>97</v>
      </c>
    </row>
    <row r="306" spans="2:9" hidden="1" x14ac:dyDescent="0.25">
      <c r="B306" s="4" t="s">
        <v>182</v>
      </c>
      <c r="C306" s="4" t="s">
        <v>500</v>
      </c>
      <c r="D306" s="4" t="s">
        <v>1401</v>
      </c>
      <c r="E306" s="4" t="s">
        <v>912</v>
      </c>
      <c r="F306" s="4">
        <v>2013</v>
      </c>
      <c r="G306" s="4" t="s">
        <v>901</v>
      </c>
      <c r="H306" s="6">
        <v>0</v>
      </c>
      <c r="I306" s="6" t="s">
        <v>97</v>
      </c>
    </row>
    <row r="307" spans="2:9" hidden="1" x14ac:dyDescent="0.25">
      <c r="B307" s="4" t="s">
        <v>183</v>
      </c>
      <c r="C307" s="4" t="s">
        <v>499</v>
      </c>
      <c r="D307" s="4" t="s">
        <v>1401</v>
      </c>
      <c r="E307" s="4" t="s">
        <v>912</v>
      </c>
      <c r="F307" s="4">
        <v>2013</v>
      </c>
      <c r="G307" s="4" t="s">
        <v>901</v>
      </c>
      <c r="H307" s="6">
        <v>0</v>
      </c>
      <c r="I307" s="6" t="s">
        <v>97</v>
      </c>
    </row>
    <row r="308" spans="2:9" hidden="1" x14ac:dyDescent="0.25">
      <c r="B308" s="4" t="s">
        <v>184</v>
      </c>
      <c r="C308" s="4" t="s">
        <v>503</v>
      </c>
      <c r="D308" s="4" t="s">
        <v>1401</v>
      </c>
      <c r="E308" s="4" t="s">
        <v>912</v>
      </c>
      <c r="F308" s="4">
        <v>2013</v>
      </c>
      <c r="G308" s="4" t="s">
        <v>901</v>
      </c>
      <c r="H308" s="6">
        <v>0</v>
      </c>
      <c r="I308" s="6" t="s">
        <v>97</v>
      </c>
    </row>
    <row r="309" spans="2:9" hidden="1" x14ac:dyDescent="0.25">
      <c r="B309" s="4" t="s">
        <v>185</v>
      </c>
      <c r="C309" s="4" t="s">
        <v>502</v>
      </c>
      <c r="D309" s="4" t="s">
        <v>1401</v>
      </c>
      <c r="E309" s="4" t="s">
        <v>912</v>
      </c>
      <c r="F309" s="4">
        <v>2013</v>
      </c>
      <c r="G309" s="4" t="s">
        <v>901</v>
      </c>
      <c r="H309" s="6">
        <v>0</v>
      </c>
      <c r="I309" s="6" t="s">
        <v>97</v>
      </c>
    </row>
    <row r="310" spans="2:9" hidden="1" x14ac:dyDescent="0.25">
      <c r="B310" s="4" t="s">
        <v>250</v>
      </c>
      <c r="C310" s="4" t="s">
        <v>817</v>
      </c>
      <c r="D310" s="4" t="s">
        <v>1401</v>
      </c>
      <c r="E310" s="4" t="s">
        <v>1403</v>
      </c>
      <c r="F310" s="4">
        <v>2013</v>
      </c>
      <c r="G310" s="4" t="s">
        <v>901</v>
      </c>
      <c r="H310" s="6">
        <v>0</v>
      </c>
      <c r="I310" s="6" t="s">
        <v>97</v>
      </c>
    </row>
    <row r="311" spans="2:9" hidden="1" x14ac:dyDescent="0.25">
      <c r="B311" s="4" t="s">
        <v>251</v>
      </c>
      <c r="C311" s="4" t="s">
        <v>818</v>
      </c>
      <c r="D311" s="4" t="s">
        <v>1401</v>
      </c>
      <c r="E311" s="4" t="s">
        <v>1403</v>
      </c>
      <c r="F311" s="4">
        <v>2013</v>
      </c>
      <c r="G311" s="4" t="s">
        <v>901</v>
      </c>
      <c r="H311" s="6">
        <v>0</v>
      </c>
      <c r="I311" s="6" t="s">
        <v>97</v>
      </c>
    </row>
    <row r="312" spans="2:9" hidden="1" x14ac:dyDescent="0.25">
      <c r="B312" s="4" t="s">
        <v>252</v>
      </c>
      <c r="C312" s="4" t="s">
        <v>819</v>
      </c>
      <c r="D312" s="4" t="s">
        <v>1401</v>
      </c>
      <c r="E312" s="4" t="s">
        <v>1403</v>
      </c>
      <c r="F312" s="4">
        <v>2013</v>
      </c>
      <c r="G312" s="4" t="s">
        <v>901</v>
      </c>
      <c r="H312" s="6">
        <v>0</v>
      </c>
      <c r="I312" s="6" t="s">
        <v>97</v>
      </c>
    </row>
    <row r="313" spans="2:9" hidden="1" x14ac:dyDescent="0.25">
      <c r="B313" s="4" t="s">
        <v>253</v>
      </c>
      <c r="C313" s="4" t="s">
        <v>820</v>
      </c>
      <c r="D313" s="4" t="s">
        <v>1401</v>
      </c>
      <c r="E313" s="4" t="s">
        <v>1403</v>
      </c>
      <c r="F313" s="4">
        <v>2013</v>
      </c>
      <c r="G313" s="4" t="s">
        <v>901</v>
      </c>
      <c r="H313" s="6">
        <v>0</v>
      </c>
      <c r="I313" s="6" t="s">
        <v>97</v>
      </c>
    </row>
    <row r="314" spans="2:9" hidden="1" x14ac:dyDescent="0.25">
      <c r="B314" s="4" t="s">
        <v>254</v>
      </c>
      <c r="C314" s="4" t="s">
        <v>821</v>
      </c>
      <c r="D314" s="4" t="s">
        <v>1401</v>
      </c>
      <c r="E314" s="4" t="s">
        <v>1403</v>
      </c>
      <c r="F314" s="4">
        <v>2013</v>
      </c>
      <c r="G314" s="4" t="s">
        <v>901</v>
      </c>
      <c r="H314" s="6">
        <v>0</v>
      </c>
      <c r="I314" s="6" t="s">
        <v>97</v>
      </c>
    </row>
    <row r="315" spans="2:9" hidden="1" x14ac:dyDescent="0.25">
      <c r="B315" s="4" t="s">
        <v>255</v>
      </c>
      <c r="C315" s="4" t="s">
        <v>822</v>
      </c>
      <c r="D315" s="4" t="s">
        <v>1401</v>
      </c>
      <c r="E315" s="4" t="s">
        <v>1403</v>
      </c>
      <c r="F315" s="4">
        <v>2013</v>
      </c>
      <c r="G315" s="4" t="s">
        <v>901</v>
      </c>
      <c r="H315" s="6">
        <v>0</v>
      </c>
      <c r="I315" s="6" t="s">
        <v>97</v>
      </c>
    </row>
    <row r="316" spans="2:9" hidden="1" x14ac:dyDescent="0.25">
      <c r="B316" s="4" t="s">
        <v>256</v>
      </c>
      <c r="C316" s="4" t="s">
        <v>823</v>
      </c>
      <c r="D316" s="4" t="s">
        <v>1401</v>
      </c>
      <c r="E316" s="4" t="s">
        <v>1403</v>
      </c>
      <c r="F316" s="4">
        <v>2013</v>
      </c>
      <c r="G316" s="4" t="s">
        <v>901</v>
      </c>
      <c r="H316" s="6">
        <v>0</v>
      </c>
      <c r="I316" s="6" t="s">
        <v>97</v>
      </c>
    </row>
    <row r="317" spans="2:9" hidden="1" x14ac:dyDescent="0.25">
      <c r="B317" s="4" t="s">
        <v>257</v>
      </c>
      <c r="C317" s="4" t="s">
        <v>701</v>
      </c>
      <c r="D317" s="4" t="s">
        <v>1401</v>
      </c>
      <c r="E317" s="4" t="s">
        <v>1403</v>
      </c>
      <c r="F317" s="4">
        <v>2013</v>
      </c>
      <c r="G317" s="4" t="s">
        <v>901</v>
      </c>
      <c r="H317" s="6">
        <v>0</v>
      </c>
      <c r="I317" s="6" t="s">
        <v>97</v>
      </c>
    </row>
    <row r="318" spans="2:9" hidden="1" x14ac:dyDescent="0.25">
      <c r="B318" s="4" t="s">
        <v>258</v>
      </c>
      <c r="C318" s="4" t="s">
        <v>925</v>
      </c>
      <c r="D318" s="4" t="s">
        <v>1401</v>
      </c>
      <c r="E318" s="4" t="s">
        <v>1403</v>
      </c>
      <c r="F318" s="4">
        <v>2013</v>
      </c>
      <c r="G318" s="4" t="s">
        <v>901</v>
      </c>
      <c r="H318" s="6">
        <v>0</v>
      </c>
      <c r="I318" s="6" t="s">
        <v>97</v>
      </c>
    </row>
    <row r="319" spans="2:9" hidden="1" x14ac:dyDescent="0.25">
      <c r="B319" s="4" t="s">
        <v>259</v>
      </c>
      <c r="C319" s="4" t="s">
        <v>926</v>
      </c>
      <c r="D319" s="4" t="s">
        <v>1401</v>
      </c>
      <c r="E319" s="4" t="s">
        <v>1403</v>
      </c>
      <c r="F319" s="4">
        <v>2013</v>
      </c>
      <c r="G319" s="4" t="s">
        <v>901</v>
      </c>
      <c r="H319" s="6">
        <v>0</v>
      </c>
      <c r="I319" s="6" t="s">
        <v>97</v>
      </c>
    </row>
    <row r="320" spans="2:9" hidden="1" x14ac:dyDescent="0.25">
      <c r="B320" s="4" t="s">
        <v>260</v>
      </c>
      <c r="C320" s="4" t="s">
        <v>927</v>
      </c>
      <c r="D320" s="4" t="s">
        <v>1401</v>
      </c>
      <c r="E320" s="4" t="s">
        <v>1403</v>
      </c>
      <c r="F320" s="4">
        <v>2013</v>
      </c>
      <c r="G320" s="4" t="s">
        <v>901</v>
      </c>
      <c r="H320" s="6">
        <v>0</v>
      </c>
      <c r="I320" s="6" t="s">
        <v>97</v>
      </c>
    </row>
    <row r="321" spans="2:9" hidden="1" x14ac:dyDescent="0.25">
      <c r="B321" s="4" t="s">
        <v>261</v>
      </c>
      <c r="C321" s="4" t="s">
        <v>928</v>
      </c>
      <c r="D321" s="4" t="s">
        <v>1401</v>
      </c>
      <c r="E321" s="4" t="s">
        <v>1403</v>
      </c>
      <c r="F321" s="4">
        <v>2013</v>
      </c>
      <c r="G321" s="4" t="s">
        <v>901</v>
      </c>
      <c r="H321" s="6">
        <v>0</v>
      </c>
      <c r="I321" s="6" t="s">
        <v>97</v>
      </c>
    </row>
    <row r="322" spans="2:9" hidden="1" x14ac:dyDescent="0.25">
      <c r="B322" s="4" t="s">
        <v>262</v>
      </c>
      <c r="C322" s="4" t="s">
        <v>669</v>
      </c>
      <c r="D322" s="4" t="s">
        <v>1401</v>
      </c>
      <c r="E322" s="4" t="s">
        <v>1403</v>
      </c>
      <c r="F322" s="4">
        <v>2013</v>
      </c>
      <c r="G322" s="4" t="s">
        <v>901</v>
      </c>
      <c r="H322" s="6">
        <v>0</v>
      </c>
      <c r="I322" s="6" t="s">
        <v>97</v>
      </c>
    </row>
    <row r="323" spans="2:9" hidden="1" x14ac:dyDescent="0.25">
      <c r="B323" s="4" t="s">
        <v>263</v>
      </c>
      <c r="C323" s="4" t="s">
        <v>672</v>
      </c>
      <c r="D323" s="4" t="s">
        <v>1401</v>
      </c>
      <c r="E323" s="4" t="s">
        <v>1403</v>
      </c>
      <c r="F323" s="4">
        <v>2013</v>
      </c>
      <c r="G323" s="4" t="s">
        <v>901</v>
      </c>
      <c r="H323" s="6">
        <v>0</v>
      </c>
      <c r="I323" s="6" t="s">
        <v>97</v>
      </c>
    </row>
    <row r="324" spans="2:9" hidden="1" x14ac:dyDescent="0.25">
      <c r="B324" s="4" t="s">
        <v>264</v>
      </c>
      <c r="C324" s="4" t="s">
        <v>671</v>
      </c>
      <c r="D324" s="4" t="s">
        <v>1401</v>
      </c>
      <c r="E324" s="4" t="s">
        <v>1403</v>
      </c>
      <c r="F324" s="4">
        <v>2013</v>
      </c>
      <c r="G324" s="4" t="s">
        <v>901</v>
      </c>
      <c r="H324" s="6">
        <v>0</v>
      </c>
      <c r="I324" s="6" t="s">
        <v>97</v>
      </c>
    </row>
    <row r="325" spans="2:9" hidden="1" x14ac:dyDescent="0.25">
      <c r="B325" s="4" t="s">
        <v>265</v>
      </c>
      <c r="C325" s="4" t="s">
        <v>670</v>
      </c>
      <c r="D325" s="4" t="s">
        <v>1401</v>
      </c>
      <c r="E325" s="4" t="s">
        <v>1403</v>
      </c>
      <c r="F325" s="4">
        <v>2013</v>
      </c>
      <c r="G325" s="4" t="s">
        <v>901</v>
      </c>
      <c r="H325" s="6">
        <v>0</v>
      </c>
      <c r="I325" s="6" t="s">
        <v>97</v>
      </c>
    </row>
    <row r="326" spans="2:9" hidden="1" x14ac:dyDescent="0.25">
      <c r="B326" s="4" t="s">
        <v>266</v>
      </c>
      <c r="C326" s="4" t="s">
        <v>673</v>
      </c>
      <c r="D326" s="4" t="s">
        <v>1401</v>
      </c>
      <c r="E326" s="4" t="s">
        <v>1403</v>
      </c>
      <c r="F326" s="4">
        <v>2013</v>
      </c>
      <c r="G326" s="4" t="s">
        <v>901</v>
      </c>
      <c r="H326" s="6">
        <v>0</v>
      </c>
      <c r="I326" s="6" t="s">
        <v>97</v>
      </c>
    </row>
    <row r="327" spans="2:9" hidden="1" x14ac:dyDescent="0.25">
      <c r="B327" s="4" t="s">
        <v>267</v>
      </c>
      <c r="C327" s="4" t="s">
        <v>634</v>
      </c>
      <c r="D327" s="4" t="s">
        <v>1401</v>
      </c>
      <c r="E327" s="4" t="s">
        <v>1403</v>
      </c>
      <c r="F327" s="4">
        <v>2013</v>
      </c>
      <c r="G327" s="4" t="s">
        <v>901</v>
      </c>
      <c r="H327" s="6">
        <v>0</v>
      </c>
      <c r="I327" s="6" t="s">
        <v>97</v>
      </c>
    </row>
    <row r="328" spans="2:9" hidden="1" x14ac:dyDescent="0.25">
      <c r="B328" s="4" t="s">
        <v>268</v>
      </c>
      <c r="C328" s="4" t="s">
        <v>637</v>
      </c>
      <c r="D328" s="4" t="s">
        <v>1401</v>
      </c>
      <c r="E328" s="4" t="s">
        <v>1403</v>
      </c>
      <c r="F328" s="4">
        <v>2013</v>
      </c>
      <c r="G328" s="4" t="s">
        <v>901</v>
      </c>
      <c r="H328" s="6">
        <v>0</v>
      </c>
      <c r="I328" s="6" t="s">
        <v>97</v>
      </c>
    </row>
    <row r="329" spans="2:9" hidden="1" x14ac:dyDescent="0.25">
      <c r="B329" s="4" t="s">
        <v>269</v>
      </c>
      <c r="C329" s="4" t="s">
        <v>636</v>
      </c>
      <c r="D329" s="4" t="s">
        <v>1401</v>
      </c>
      <c r="E329" s="4" t="s">
        <v>1403</v>
      </c>
      <c r="F329" s="4">
        <v>2013</v>
      </c>
      <c r="G329" s="4" t="s">
        <v>901</v>
      </c>
      <c r="H329" s="6">
        <v>0</v>
      </c>
      <c r="I329" s="6" t="s">
        <v>97</v>
      </c>
    </row>
    <row r="330" spans="2:9" hidden="1" x14ac:dyDescent="0.25">
      <c r="B330" s="4" t="s">
        <v>270</v>
      </c>
      <c r="C330" s="4" t="s">
        <v>635</v>
      </c>
      <c r="D330" s="4" t="s">
        <v>1401</v>
      </c>
      <c r="E330" s="4" t="s">
        <v>1403</v>
      </c>
      <c r="F330" s="4">
        <v>2013</v>
      </c>
      <c r="G330" s="4" t="s">
        <v>901</v>
      </c>
      <c r="H330" s="6">
        <v>0</v>
      </c>
      <c r="I330" s="6" t="s">
        <v>97</v>
      </c>
    </row>
    <row r="331" spans="2:9" hidden="1" x14ac:dyDescent="0.25">
      <c r="B331" s="4" t="s">
        <v>271</v>
      </c>
      <c r="C331" s="4" t="s">
        <v>638</v>
      </c>
      <c r="D331" s="4" t="s">
        <v>1401</v>
      </c>
      <c r="E331" s="4" t="s">
        <v>1403</v>
      </c>
      <c r="F331" s="4">
        <v>2013</v>
      </c>
      <c r="G331" s="4" t="s">
        <v>901</v>
      </c>
      <c r="H331" s="6">
        <v>0</v>
      </c>
      <c r="I331" s="6" t="s">
        <v>97</v>
      </c>
    </row>
    <row r="332" spans="2:9" x14ac:dyDescent="0.25">
      <c r="B332" s="4" t="s">
        <v>30</v>
      </c>
      <c r="C332" s="4" t="s">
        <v>31</v>
      </c>
      <c r="D332" s="4" t="s">
        <v>1401</v>
      </c>
      <c r="E332" s="4" t="s">
        <v>1698</v>
      </c>
      <c r="F332" s="4">
        <v>2013</v>
      </c>
      <c r="G332" s="4" t="s">
        <v>901</v>
      </c>
      <c r="H332" s="6">
        <v>1</v>
      </c>
      <c r="I332" s="6" t="s">
        <v>97</v>
      </c>
    </row>
    <row r="333" spans="2:9" x14ac:dyDescent="0.25">
      <c r="B333" s="4" t="s">
        <v>32</v>
      </c>
      <c r="C333" s="4" t="s">
        <v>1443</v>
      </c>
      <c r="D333" s="4" t="s">
        <v>1401</v>
      </c>
      <c r="E333" s="4" t="s">
        <v>1698</v>
      </c>
      <c r="F333" s="4">
        <v>2013</v>
      </c>
      <c r="G333" s="4" t="s">
        <v>901</v>
      </c>
      <c r="H333" s="6">
        <v>1</v>
      </c>
      <c r="I333" s="6" t="s">
        <v>97</v>
      </c>
    </row>
    <row r="334" spans="2:9" x14ac:dyDescent="0.25">
      <c r="B334" s="4" t="s">
        <v>1092</v>
      </c>
      <c r="C334" s="4" t="s">
        <v>1341</v>
      </c>
      <c r="D334" s="4" t="s">
        <v>1401</v>
      </c>
      <c r="E334" s="4" t="s">
        <v>1698</v>
      </c>
      <c r="F334" s="4">
        <v>2013</v>
      </c>
      <c r="G334" s="4" t="s">
        <v>901</v>
      </c>
      <c r="H334" s="6">
        <v>1</v>
      </c>
      <c r="I334" s="6" t="s">
        <v>97</v>
      </c>
    </row>
    <row r="335" spans="2:9" x14ac:dyDescent="0.25">
      <c r="B335" s="4" t="s">
        <v>1093</v>
      </c>
      <c r="C335" s="4" t="s">
        <v>1444</v>
      </c>
      <c r="D335" s="4" t="s">
        <v>1401</v>
      </c>
      <c r="E335" s="4" t="s">
        <v>1698</v>
      </c>
      <c r="F335" s="4">
        <v>2013</v>
      </c>
      <c r="G335" s="4" t="s">
        <v>901</v>
      </c>
      <c r="H335" s="6">
        <v>1</v>
      </c>
      <c r="I335" s="6" t="s">
        <v>97</v>
      </c>
    </row>
    <row r="336" spans="2:9" x14ac:dyDescent="0.25">
      <c r="B336" s="4" t="s">
        <v>1094</v>
      </c>
      <c r="C336" s="4" t="s">
        <v>1342</v>
      </c>
      <c r="D336" s="4" t="s">
        <v>1401</v>
      </c>
      <c r="E336" s="4" t="s">
        <v>1698</v>
      </c>
      <c r="F336" s="4">
        <v>2013</v>
      </c>
      <c r="G336" s="4" t="s">
        <v>901</v>
      </c>
      <c r="H336" s="6">
        <v>1</v>
      </c>
      <c r="I336" s="6" t="s">
        <v>97</v>
      </c>
    </row>
    <row r="337" spans="2:9" x14ac:dyDescent="0.25">
      <c r="B337" s="4" t="s">
        <v>1095</v>
      </c>
      <c r="C337" s="4" t="s">
        <v>1445</v>
      </c>
      <c r="D337" s="4" t="s">
        <v>1401</v>
      </c>
      <c r="E337" s="4" t="s">
        <v>1698</v>
      </c>
      <c r="F337" s="4">
        <v>2013</v>
      </c>
      <c r="G337" s="4" t="s">
        <v>901</v>
      </c>
      <c r="H337" s="6">
        <v>1</v>
      </c>
      <c r="I337" s="6" t="s">
        <v>97</v>
      </c>
    </row>
    <row r="338" spans="2:9" x14ac:dyDescent="0.25">
      <c r="B338" s="4" t="s">
        <v>33</v>
      </c>
      <c r="C338" s="4" t="s">
        <v>34</v>
      </c>
      <c r="D338" s="4" t="s">
        <v>1401</v>
      </c>
      <c r="E338" s="4" t="s">
        <v>1698</v>
      </c>
      <c r="F338" s="4">
        <v>2013</v>
      </c>
      <c r="G338" s="4" t="s">
        <v>901</v>
      </c>
      <c r="H338" s="6">
        <v>1</v>
      </c>
      <c r="I338" s="6" t="s">
        <v>97</v>
      </c>
    </row>
    <row r="339" spans="2:9" x14ac:dyDescent="0.25">
      <c r="B339" s="4" t="s">
        <v>36</v>
      </c>
      <c r="C339" s="4" t="s">
        <v>37</v>
      </c>
      <c r="D339" s="4" t="s">
        <v>1401</v>
      </c>
      <c r="E339" s="4" t="s">
        <v>1698</v>
      </c>
      <c r="F339" s="4">
        <v>2013</v>
      </c>
      <c r="G339" s="4" t="s">
        <v>901</v>
      </c>
      <c r="H339" s="6">
        <v>1</v>
      </c>
      <c r="I339" s="6" t="s">
        <v>97</v>
      </c>
    </row>
    <row r="340" spans="2:9" x14ac:dyDescent="0.25">
      <c r="B340" s="4" t="s">
        <v>38</v>
      </c>
      <c r="C340" s="4" t="s">
        <v>39</v>
      </c>
      <c r="D340" s="4" t="s">
        <v>1401</v>
      </c>
      <c r="E340" s="4" t="s">
        <v>1698</v>
      </c>
      <c r="F340" s="4">
        <v>2013</v>
      </c>
      <c r="G340" s="4" t="s">
        <v>901</v>
      </c>
      <c r="H340" s="6">
        <v>1</v>
      </c>
      <c r="I340" s="6" t="s">
        <v>97</v>
      </c>
    </row>
    <row r="341" spans="2:9" x14ac:dyDescent="0.25">
      <c r="B341" s="4" t="s">
        <v>40</v>
      </c>
      <c r="C341" s="4" t="s">
        <v>41</v>
      </c>
      <c r="D341" s="4" t="s">
        <v>1401</v>
      </c>
      <c r="E341" s="4" t="s">
        <v>1698</v>
      </c>
      <c r="F341" s="4">
        <v>2013</v>
      </c>
      <c r="G341" s="4" t="s">
        <v>901</v>
      </c>
      <c r="H341" s="6">
        <v>1</v>
      </c>
      <c r="I341" s="6" t="s">
        <v>97</v>
      </c>
    </row>
    <row r="342" spans="2:9" x14ac:dyDescent="0.25">
      <c r="B342" s="4" t="s">
        <v>80</v>
      </c>
      <c r="C342" s="4" t="s">
        <v>86</v>
      </c>
      <c r="D342" s="4" t="s">
        <v>1401</v>
      </c>
      <c r="E342" s="4" t="s">
        <v>916</v>
      </c>
      <c r="F342" s="4">
        <v>2013</v>
      </c>
      <c r="G342" s="4" t="s">
        <v>901</v>
      </c>
      <c r="H342" s="6">
        <v>1</v>
      </c>
      <c r="I342" s="6" t="s">
        <v>97</v>
      </c>
    </row>
    <row r="343" spans="2:9" x14ac:dyDescent="0.25">
      <c r="B343" s="4" t="s">
        <v>81</v>
      </c>
      <c r="C343" s="4" t="s">
        <v>1395</v>
      </c>
      <c r="D343" s="4" t="s">
        <v>1401</v>
      </c>
      <c r="E343" s="4" t="s">
        <v>916</v>
      </c>
      <c r="F343" s="4">
        <v>2013</v>
      </c>
      <c r="G343" s="4" t="s">
        <v>901</v>
      </c>
      <c r="H343" s="6">
        <v>1</v>
      </c>
      <c r="I343" s="6" t="s">
        <v>97</v>
      </c>
    </row>
    <row r="344" spans="2:9" x14ac:dyDescent="0.25">
      <c r="B344" s="4" t="s">
        <v>82</v>
      </c>
      <c r="C344" s="4" t="s">
        <v>87</v>
      </c>
      <c r="D344" s="4" t="s">
        <v>1401</v>
      </c>
      <c r="E344" s="4" t="s">
        <v>916</v>
      </c>
      <c r="F344" s="4">
        <v>2013</v>
      </c>
      <c r="G344" s="4" t="s">
        <v>901</v>
      </c>
      <c r="H344" s="6">
        <v>1</v>
      </c>
      <c r="I344" s="6" t="s">
        <v>97</v>
      </c>
    </row>
    <row r="345" spans="2:9" x14ac:dyDescent="0.25">
      <c r="B345" s="4" t="s">
        <v>83</v>
      </c>
      <c r="C345" s="4" t="s">
        <v>88</v>
      </c>
      <c r="D345" s="4" t="s">
        <v>1401</v>
      </c>
      <c r="E345" s="4" t="s">
        <v>916</v>
      </c>
      <c r="F345" s="4">
        <v>2013</v>
      </c>
      <c r="G345" s="4" t="s">
        <v>901</v>
      </c>
      <c r="H345" s="6">
        <v>1</v>
      </c>
      <c r="I345" s="6" t="s">
        <v>97</v>
      </c>
    </row>
    <row r="346" spans="2:9" x14ac:dyDescent="0.25">
      <c r="B346" s="4" t="s">
        <v>84</v>
      </c>
      <c r="C346" s="4" t="s">
        <v>89</v>
      </c>
      <c r="D346" s="4" t="s">
        <v>1401</v>
      </c>
      <c r="E346" s="4" t="s">
        <v>916</v>
      </c>
      <c r="F346" s="4">
        <v>2013</v>
      </c>
      <c r="G346" s="4" t="s">
        <v>901</v>
      </c>
      <c r="H346" s="6">
        <v>1</v>
      </c>
      <c r="I346" s="6" t="s">
        <v>97</v>
      </c>
    </row>
    <row r="347" spans="2:9" x14ac:dyDescent="0.25">
      <c r="B347" s="4" t="s">
        <v>85</v>
      </c>
      <c r="C347" s="4" t="s">
        <v>90</v>
      </c>
      <c r="D347" s="4" t="s">
        <v>1401</v>
      </c>
      <c r="E347" s="4" t="s">
        <v>916</v>
      </c>
      <c r="F347" s="4">
        <v>2013</v>
      </c>
      <c r="G347" s="4" t="s">
        <v>901</v>
      </c>
      <c r="H347" s="6">
        <v>1</v>
      </c>
      <c r="I347" s="6" t="s">
        <v>97</v>
      </c>
    </row>
    <row r="348" spans="2:9" x14ac:dyDescent="0.25">
      <c r="B348" s="4" t="s">
        <v>1096</v>
      </c>
      <c r="C348" s="4" t="s">
        <v>1404</v>
      </c>
      <c r="D348" s="4" t="s">
        <v>1401</v>
      </c>
      <c r="E348" s="4" t="s">
        <v>1403</v>
      </c>
      <c r="F348" s="4">
        <v>2013</v>
      </c>
      <c r="G348" s="4" t="s">
        <v>901</v>
      </c>
      <c r="H348" s="6">
        <v>1</v>
      </c>
      <c r="I348" s="6" t="s">
        <v>97</v>
      </c>
    </row>
    <row r="349" spans="2:9" x14ac:dyDescent="0.25">
      <c r="B349" s="4" t="s">
        <v>1097</v>
      </c>
      <c r="C349" s="4" t="s">
        <v>1407</v>
      </c>
      <c r="D349" s="4" t="s">
        <v>1401</v>
      </c>
      <c r="E349" s="4" t="s">
        <v>1403</v>
      </c>
      <c r="F349" s="4">
        <v>2013</v>
      </c>
      <c r="G349" s="4" t="s">
        <v>901</v>
      </c>
      <c r="H349" s="6">
        <v>1</v>
      </c>
      <c r="I349" s="6" t="s">
        <v>97</v>
      </c>
    </row>
    <row r="350" spans="2:9" x14ac:dyDescent="0.25">
      <c r="B350" s="4" t="s">
        <v>1098</v>
      </c>
      <c r="C350" s="4" t="s">
        <v>1406</v>
      </c>
      <c r="D350" s="4" t="s">
        <v>1401</v>
      </c>
      <c r="E350" s="4" t="s">
        <v>1403</v>
      </c>
      <c r="F350" s="4">
        <v>2013</v>
      </c>
      <c r="G350" s="4" t="s">
        <v>901</v>
      </c>
      <c r="H350" s="6">
        <v>1</v>
      </c>
      <c r="I350" s="6" t="s">
        <v>97</v>
      </c>
    </row>
    <row r="351" spans="2:9" x14ac:dyDescent="0.25">
      <c r="B351" s="4" t="s">
        <v>1099</v>
      </c>
      <c r="C351" s="4" t="s">
        <v>1405</v>
      </c>
      <c r="D351" s="4" t="s">
        <v>1401</v>
      </c>
      <c r="E351" s="4" t="s">
        <v>1403</v>
      </c>
      <c r="F351" s="4">
        <v>2013</v>
      </c>
      <c r="G351" s="4" t="s">
        <v>901</v>
      </c>
      <c r="H351" s="6">
        <v>1</v>
      </c>
      <c r="I351" s="6" t="s">
        <v>97</v>
      </c>
    </row>
    <row r="352" spans="2:9" x14ac:dyDescent="0.25">
      <c r="B352" s="4" t="s">
        <v>1100</v>
      </c>
      <c r="C352" s="4" t="s">
        <v>1733</v>
      </c>
      <c r="D352" s="4" t="s">
        <v>1401</v>
      </c>
      <c r="E352" s="4" t="s">
        <v>1547</v>
      </c>
      <c r="F352" s="4">
        <v>2013</v>
      </c>
      <c r="G352" s="4" t="s">
        <v>901</v>
      </c>
      <c r="H352" s="6">
        <v>1</v>
      </c>
      <c r="I352" s="6" t="s">
        <v>97</v>
      </c>
    </row>
    <row r="353" spans="2:9" x14ac:dyDescent="0.25">
      <c r="B353" s="4" t="s">
        <v>1458</v>
      </c>
      <c r="C353" s="4" t="s">
        <v>1472</v>
      </c>
      <c r="D353" s="4" t="s">
        <v>1401</v>
      </c>
      <c r="E353" s="4" t="s">
        <v>1473</v>
      </c>
      <c r="F353" s="4">
        <v>2013</v>
      </c>
      <c r="G353" s="4" t="s">
        <v>901</v>
      </c>
      <c r="H353" s="6">
        <v>1</v>
      </c>
      <c r="I353" s="6" t="s">
        <v>1515</v>
      </c>
    </row>
    <row r="354" spans="2:9" x14ac:dyDescent="0.25">
      <c r="B354" s="4" t="s">
        <v>1459</v>
      </c>
      <c r="C354" s="4" t="s">
        <v>1476</v>
      </c>
      <c r="D354" s="4" t="s">
        <v>1401</v>
      </c>
      <c r="E354" s="4" t="s">
        <v>1473</v>
      </c>
      <c r="F354" s="4">
        <v>2013</v>
      </c>
      <c r="G354" s="4" t="s">
        <v>901</v>
      </c>
      <c r="H354" s="6">
        <v>1</v>
      </c>
      <c r="I354" s="6" t="s">
        <v>1515</v>
      </c>
    </row>
    <row r="355" spans="2:9" x14ac:dyDescent="0.25">
      <c r="B355" s="4" t="s">
        <v>1460</v>
      </c>
      <c r="C355" s="4" t="s">
        <v>1477</v>
      </c>
      <c r="D355" s="4" t="s">
        <v>1401</v>
      </c>
      <c r="E355" s="4" t="s">
        <v>1473</v>
      </c>
      <c r="F355" s="4">
        <v>2013</v>
      </c>
      <c r="G355" s="4" t="s">
        <v>901</v>
      </c>
      <c r="H355" s="6">
        <v>1</v>
      </c>
      <c r="I355" s="6" t="s">
        <v>1515</v>
      </c>
    </row>
    <row r="356" spans="2:9" x14ac:dyDescent="0.25">
      <c r="B356" s="4" t="s">
        <v>1461</v>
      </c>
      <c r="C356" s="4" t="s">
        <v>1478</v>
      </c>
      <c r="D356" s="4" t="s">
        <v>1401</v>
      </c>
      <c r="E356" s="4" t="s">
        <v>1473</v>
      </c>
      <c r="F356" s="4">
        <v>2013</v>
      </c>
      <c r="G356" s="4" t="s">
        <v>901</v>
      </c>
      <c r="H356" s="6">
        <v>1</v>
      </c>
      <c r="I356" s="6" t="s">
        <v>1515</v>
      </c>
    </row>
    <row r="357" spans="2:9" x14ac:dyDescent="0.25">
      <c r="B357" s="4" t="s">
        <v>1462</v>
      </c>
      <c r="C357" s="4" t="s">
        <v>1479</v>
      </c>
      <c r="D357" s="4" t="s">
        <v>1401</v>
      </c>
      <c r="E357" s="4" t="s">
        <v>1473</v>
      </c>
      <c r="F357" s="4">
        <v>2013</v>
      </c>
      <c r="G357" s="4" t="s">
        <v>901</v>
      </c>
      <c r="H357" s="6">
        <v>1</v>
      </c>
      <c r="I357" s="6" t="s">
        <v>1515</v>
      </c>
    </row>
    <row r="358" spans="2:9" x14ac:dyDescent="0.25">
      <c r="B358" s="4" t="s">
        <v>1463</v>
      </c>
      <c r="C358" s="4" t="s">
        <v>1480</v>
      </c>
      <c r="D358" s="4" t="s">
        <v>1401</v>
      </c>
      <c r="E358" s="4" t="s">
        <v>1473</v>
      </c>
      <c r="F358" s="4">
        <v>2013</v>
      </c>
      <c r="G358" s="4" t="s">
        <v>901</v>
      </c>
      <c r="H358" s="6">
        <v>1</v>
      </c>
      <c r="I358" s="6" t="s">
        <v>1515</v>
      </c>
    </row>
    <row r="359" spans="2:9" x14ac:dyDescent="0.25">
      <c r="B359" s="4" t="s">
        <v>1464</v>
      </c>
      <c r="C359" s="4" t="s">
        <v>1483</v>
      </c>
      <c r="D359" s="4" t="s">
        <v>1401</v>
      </c>
      <c r="E359" s="4" t="s">
        <v>1536</v>
      </c>
      <c r="F359" s="4">
        <v>2013</v>
      </c>
      <c r="G359" s="4" t="s">
        <v>901</v>
      </c>
      <c r="H359" s="6">
        <v>1</v>
      </c>
      <c r="I359" s="6" t="s">
        <v>1515</v>
      </c>
    </row>
    <row r="360" spans="2:9" x14ac:dyDescent="0.25">
      <c r="B360" s="4" t="s">
        <v>1465</v>
      </c>
      <c r="C360" s="4" t="s">
        <v>1746</v>
      </c>
      <c r="D360" s="4" t="s">
        <v>1401</v>
      </c>
      <c r="E360" s="4" t="s">
        <v>1536</v>
      </c>
      <c r="F360" s="4">
        <v>2013</v>
      </c>
      <c r="G360" s="4" t="s">
        <v>901</v>
      </c>
      <c r="H360" s="6">
        <v>1</v>
      </c>
      <c r="I360" s="6" t="s">
        <v>1515</v>
      </c>
    </row>
    <row r="361" spans="2:9" x14ac:dyDescent="0.25">
      <c r="B361" s="4" t="s">
        <v>1466</v>
      </c>
      <c r="C361" s="4" t="s">
        <v>1747</v>
      </c>
      <c r="D361" s="4" t="s">
        <v>1401</v>
      </c>
      <c r="E361" s="4" t="s">
        <v>1536</v>
      </c>
      <c r="F361" s="4">
        <v>2013</v>
      </c>
      <c r="G361" s="4" t="s">
        <v>901</v>
      </c>
      <c r="H361" s="6">
        <v>1</v>
      </c>
      <c r="I361" s="6" t="s">
        <v>1515</v>
      </c>
    </row>
    <row r="362" spans="2:9" x14ac:dyDescent="0.25">
      <c r="B362" s="4" t="s">
        <v>1467</v>
      </c>
      <c r="C362" s="4" t="s">
        <v>1748</v>
      </c>
      <c r="D362" s="4" t="s">
        <v>1401</v>
      </c>
      <c r="E362" s="4" t="s">
        <v>1536</v>
      </c>
      <c r="F362" s="4">
        <v>2013</v>
      </c>
      <c r="G362" s="4" t="s">
        <v>901</v>
      </c>
      <c r="H362" s="6">
        <v>1</v>
      </c>
      <c r="I362" s="6" t="s">
        <v>1515</v>
      </c>
    </row>
    <row r="363" spans="2:9" x14ac:dyDescent="0.25">
      <c r="B363" s="4" t="s">
        <v>1468</v>
      </c>
      <c r="C363" s="4" t="s">
        <v>1749</v>
      </c>
      <c r="D363" s="4" t="s">
        <v>1401</v>
      </c>
      <c r="E363" s="4" t="s">
        <v>1536</v>
      </c>
      <c r="F363" s="4">
        <v>2013</v>
      </c>
      <c r="G363" s="4" t="s">
        <v>901</v>
      </c>
      <c r="H363" s="6">
        <v>1</v>
      </c>
      <c r="I363" s="6" t="s">
        <v>1515</v>
      </c>
    </row>
    <row r="364" spans="2:9" x14ac:dyDescent="0.25">
      <c r="B364" s="4" t="s">
        <v>1469</v>
      </c>
      <c r="C364" s="4" t="s">
        <v>1717</v>
      </c>
      <c r="D364" s="4" t="s">
        <v>1401</v>
      </c>
      <c r="E364" s="4" t="s">
        <v>1536</v>
      </c>
      <c r="F364" s="4">
        <v>2013</v>
      </c>
      <c r="G364" s="4" t="s">
        <v>901</v>
      </c>
      <c r="H364" s="6">
        <v>1</v>
      </c>
      <c r="I364" s="6" t="s">
        <v>1515</v>
      </c>
    </row>
    <row r="365" spans="2:9" x14ac:dyDescent="0.25">
      <c r="B365" s="4" t="s">
        <v>1456</v>
      </c>
      <c r="C365" s="4" t="s">
        <v>1481</v>
      </c>
      <c r="D365" s="4" t="s">
        <v>1401</v>
      </c>
      <c r="E365" s="4" t="s">
        <v>916</v>
      </c>
      <c r="F365" s="4">
        <v>2013</v>
      </c>
      <c r="G365" s="4" t="s">
        <v>901</v>
      </c>
      <c r="H365" s="6">
        <v>1</v>
      </c>
      <c r="I365" s="6" t="s">
        <v>97</v>
      </c>
    </row>
    <row r="366" spans="2:9" x14ac:dyDescent="0.25">
      <c r="B366" s="4" t="s">
        <v>1457</v>
      </c>
      <c r="C366" s="4" t="s">
        <v>1482</v>
      </c>
      <c r="D366" s="4" t="s">
        <v>1401</v>
      </c>
      <c r="E366" s="4" t="s">
        <v>916</v>
      </c>
      <c r="F366" s="4">
        <v>2013</v>
      </c>
      <c r="G366" s="4" t="s">
        <v>901</v>
      </c>
      <c r="H366" s="6">
        <v>1</v>
      </c>
      <c r="I366" s="6" t="s">
        <v>97</v>
      </c>
    </row>
    <row r="367" spans="2:9" x14ac:dyDescent="0.25">
      <c r="B367" s="4" t="s">
        <v>1498</v>
      </c>
      <c r="C367" s="4" t="s">
        <v>1519</v>
      </c>
      <c r="D367" s="4" t="s">
        <v>1401</v>
      </c>
      <c r="E367" s="4" t="s">
        <v>1528</v>
      </c>
      <c r="F367" s="4">
        <v>2013</v>
      </c>
      <c r="G367" s="4" t="s">
        <v>901</v>
      </c>
      <c r="H367" s="6">
        <v>1</v>
      </c>
      <c r="I367" s="6" t="s">
        <v>97</v>
      </c>
    </row>
    <row r="368" spans="2:9" x14ac:dyDescent="0.25">
      <c r="B368" s="4" t="s">
        <v>1499</v>
      </c>
      <c r="C368" s="4" t="s">
        <v>1520</v>
      </c>
      <c r="D368" s="4" t="s">
        <v>1401</v>
      </c>
      <c r="E368" s="4" t="s">
        <v>1528</v>
      </c>
      <c r="F368" s="4">
        <v>2013</v>
      </c>
      <c r="G368" s="4" t="s">
        <v>901</v>
      </c>
      <c r="H368" s="6">
        <v>1</v>
      </c>
      <c r="I368" s="6" t="s">
        <v>97</v>
      </c>
    </row>
    <row r="369" spans="2:9" x14ac:dyDescent="0.25">
      <c r="B369" s="4" t="s">
        <v>1500</v>
      </c>
      <c r="C369" s="4" t="s">
        <v>1521</v>
      </c>
      <c r="D369" s="4" t="s">
        <v>1401</v>
      </c>
      <c r="E369" s="4" t="s">
        <v>1528</v>
      </c>
      <c r="F369" s="4">
        <v>2013</v>
      </c>
      <c r="G369" s="4" t="s">
        <v>901</v>
      </c>
      <c r="H369" s="6">
        <v>1</v>
      </c>
      <c r="I369" s="6" t="s">
        <v>97</v>
      </c>
    </row>
    <row r="370" spans="2:9" x14ac:dyDescent="0.25">
      <c r="B370" s="4" t="s">
        <v>1501</v>
      </c>
      <c r="C370" s="4" t="s">
        <v>1522</v>
      </c>
      <c r="D370" s="4" t="s">
        <v>1401</v>
      </c>
      <c r="E370" s="4" t="s">
        <v>1528</v>
      </c>
      <c r="F370" s="4">
        <v>2013</v>
      </c>
      <c r="G370" s="4" t="s">
        <v>901</v>
      </c>
      <c r="H370" s="6">
        <v>1</v>
      </c>
      <c r="I370" s="6" t="s">
        <v>97</v>
      </c>
    </row>
    <row r="371" spans="2:9" x14ac:dyDescent="0.25">
      <c r="B371" s="4" t="s">
        <v>1502</v>
      </c>
      <c r="C371" s="4" t="s">
        <v>1524</v>
      </c>
      <c r="D371" s="4" t="s">
        <v>1236</v>
      </c>
      <c r="E371" s="4" t="s">
        <v>1662</v>
      </c>
      <c r="F371" s="4">
        <v>2013</v>
      </c>
      <c r="G371" s="4" t="s">
        <v>901</v>
      </c>
      <c r="H371" s="6">
        <v>1</v>
      </c>
      <c r="I371" s="6" t="s">
        <v>97</v>
      </c>
    </row>
    <row r="372" spans="2:9" x14ac:dyDescent="0.25">
      <c r="B372" s="4" t="s">
        <v>1503</v>
      </c>
      <c r="C372" s="4" t="s">
        <v>1523</v>
      </c>
      <c r="D372" s="4" t="s">
        <v>1236</v>
      </c>
      <c r="E372" s="4" t="s">
        <v>1662</v>
      </c>
      <c r="F372" s="4">
        <v>2013</v>
      </c>
      <c r="G372" s="4" t="s">
        <v>901</v>
      </c>
      <c r="H372" s="6">
        <v>1</v>
      </c>
      <c r="I372" s="6" t="s">
        <v>97</v>
      </c>
    </row>
    <row r="373" spans="2:9" x14ac:dyDescent="0.25">
      <c r="B373" s="4" t="s">
        <v>1504</v>
      </c>
      <c r="C373" s="4" t="s">
        <v>1525</v>
      </c>
      <c r="D373" s="4" t="s">
        <v>1236</v>
      </c>
      <c r="E373" s="4" t="s">
        <v>1662</v>
      </c>
      <c r="F373" s="4">
        <v>2013</v>
      </c>
      <c r="G373" s="4" t="s">
        <v>901</v>
      </c>
      <c r="H373" s="6">
        <v>1</v>
      </c>
      <c r="I373" s="6" t="s">
        <v>97</v>
      </c>
    </row>
    <row r="374" spans="2:9" x14ac:dyDescent="0.25">
      <c r="B374" s="4" t="s">
        <v>1505</v>
      </c>
      <c r="C374" s="4" t="s">
        <v>1526</v>
      </c>
      <c r="D374" s="4" t="s">
        <v>1236</v>
      </c>
      <c r="E374" s="4" t="s">
        <v>1662</v>
      </c>
      <c r="F374" s="4">
        <v>2013</v>
      </c>
      <c r="G374" s="4" t="s">
        <v>901</v>
      </c>
      <c r="H374" s="6">
        <v>1</v>
      </c>
      <c r="I374" s="6" t="s">
        <v>97</v>
      </c>
    </row>
    <row r="375" spans="2:9" x14ac:dyDescent="0.25">
      <c r="B375" s="4" t="s">
        <v>1506</v>
      </c>
      <c r="C375" s="4" t="s">
        <v>1527</v>
      </c>
      <c r="D375" s="4" t="s">
        <v>1236</v>
      </c>
      <c r="E375" s="4" t="s">
        <v>1662</v>
      </c>
      <c r="F375" s="4">
        <v>2013</v>
      </c>
      <c r="G375" s="4" t="s">
        <v>901</v>
      </c>
      <c r="H375" s="6">
        <v>1</v>
      </c>
      <c r="I375" s="6" t="s">
        <v>97</v>
      </c>
    </row>
    <row r="376" spans="2:9" x14ac:dyDescent="0.25">
      <c r="B376" s="4" t="s">
        <v>1507</v>
      </c>
      <c r="C376" s="4" t="s">
        <v>1530</v>
      </c>
      <c r="D376" s="4" t="s">
        <v>1401</v>
      </c>
      <c r="E376" s="4" t="s">
        <v>1529</v>
      </c>
      <c r="F376" s="4">
        <v>2013</v>
      </c>
      <c r="G376" s="4" t="s">
        <v>901</v>
      </c>
      <c r="H376" s="6">
        <v>1</v>
      </c>
      <c r="I376" s="6" t="s">
        <v>97</v>
      </c>
    </row>
    <row r="377" spans="2:9" x14ac:dyDescent="0.25">
      <c r="B377" s="4" t="s">
        <v>1508</v>
      </c>
      <c r="C377" s="4" t="s">
        <v>1531</v>
      </c>
      <c r="D377" s="4" t="s">
        <v>1401</v>
      </c>
      <c r="E377" s="4" t="s">
        <v>1529</v>
      </c>
      <c r="F377" s="4">
        <v>2013</v>
      </c>
      <c r="G377" s="4" t="s">
        <v>901</v>
      </c>
      <c r="H377" s="6">
        <v>1</v>
      </c>
      <c r="I377" s="6" t="s">
        <v>97</v>
      </c>
    </row>
    <row r="378" spans="2:9" x14ac:dyDescent="0.25">
      <c r="B378" s="4" t="s">
        <v>1509</v>
      </c>
      <c r="C378" s="4" t="s">
        <v>1532</v>
      </c>
      <c r="D378" s="4" t="s">
        <v>1401</v>
      </c>
      <c r="E378" s="4" t="s">
        <v>1529</v>
      </c>
      <c r="F378" s="4">
        <v>2013</v>
      </c>
      <c r="G378" s="4" t="s">
        <v>901</v>
      </c>
      <c r="H378" s="6">
        <v>1</v>
      </c>
      <c r="I378" s="6" t="s">
        <v>97</v>
      </c>
    </row>
    <row r="379" spans="2:9" x14ac:dyDescent="0.25">
      <c r="B379" s="4" t="s">
        <v>1510</v>
      </c>
      <c r="C379" s="4" t="s">
        <v>1533</v>
      </c>
      <c r="D379" s="4" t="s">
        <v>1401</v>
      </c>
      <c r="E379" s="4" t="s">
        <v>1529</v>
      </c>
      <c r="F379" s="4">
        <v>2013</v>
      </c>
      <c r="G379" s="4" t="s">
        <v>901</v>
      </c>
      <c r="H379" s="6">
        <v>1</v>
      </c>
      <c r="I379" s="6" t="s">
        <v>97</v>
      </c>
    </row>
    <row r="380" spans="2:9" x14ac:dyDescent="0.25">
      <c r="B380" s="4" t="s">
        <v>1511</v>
      </c>
      <c r="C380" s="4" t="s">
        <v>1534</v>
      </c>
      <c r="D380" s="4" t="s">
        <v>1401</v>
      </c>
      <c r="E380" s="4" t="s">
        <v>1529</v>
      </c>
      <c r="F380" s="4">
        <v>2013</v>
      </c>
      <c r="G380" s="4" t="s">
        <v>901</v>
      </c>
      <c r="H380" s="6">
        <v>1</v>
      </c>
      <c r="I380" s="6" t="s">
        <v>97</v>
      </c>
    </row>
    <row r="381" spans="2:9" x14ac:dyDescent="0.25">
      <c r="B381" s="4" t="s">
        <v>1535</v>
      </c>
      <c r="C381" s="4" t="s">
        <v>1537</v>
      </c>
      <c r="D381" s="4" t="s">
        <v>1401</v>
      </c>
      <c r="E381" s="4" t="s">
        <v>1536</v>
      </c>
      <c r="F381" s="4">
        <v>2016</v>
      </c>
      <c r="G381" s="4" t="s">
        <v>1639</v>
      </c>
      <c r="H381" s="6">
        <v>1</v>
      </c>
      <c r="I381" s="6" t="s">
        <v>97</v>
      </c>
    </row>
    <row r="382" spans="2:9" hidden="1" x14ac:dyDescent="0.25">
      <c r="B382" s="4" t="s">
        <v>1538</v>
      </c>
      <c r="C382" s="4" t="s">
        <v>1569</v>
      </c>
      <c r="D382" s="4" t="s">
        <v>1401</v>
      </c>
      <c r="E382" s="4" t="s">
        <v>1547</v>
      </c>
      <c r="F382" s="4">
        <v>2013</v>
      </c>
      <c r="G382" s="4" t="s">
        <v>1640</v>
      </c>
      <c r="H382" s="6">
        <v>0</v>
      </c>
      <c r="I382" s="6" t="s">
        <v>1515</v>
      </c>
    </row>
    <row r="383" spans="2:9" hidden="1" x14ac:dyDescent="0.25">
      <c r="B383" s="4" t="s">
        <v>1539</v>
      </c>
      <c r="C383" s="4" t="s">
        <v>1570</v>
      </c>
      <c r="D383" s="4" t="s">
        <v>1401</v>
      </c>
      <c r="E383" s="4" t="s">
        <v>1547</v>
      </c>
      <c r="F383" s="4">
        <v>2013</v>
      </c>
      <c r="G383" s="4" t="s">
        <v>1640</v>
      </c>
      <c r="H383" s="6">
        <v>0</v>
      </c>
      <c r="I383" s="6" t="s">
        <v>1515</v>
      </c>
    </row>
    <row r="384" spans="2:9" hidden="1" x14ac:dyDescent="0.25">
      <c r="B384" s="4" t="s">
        <v>1540</v>
      </c>
      <c r="C384" s="4" t="s">
        <v>1563</v>
      </c>
      <c r="D384" s="4" t="s">
        <v>1401</v>
      </c>
      <c r="E384" s="4" t="s">
        <v>1547</v>
      </c>
      <c r="F384" s="4">
        <v>2013</v>
      </c>
      <c r="G384" s="4" t="s">
        <v>1640</v>
      </c>
      <c r="H384" s="6">
        <v>0</v>
      </c>
      <c r="I384" s="6" t="s">
        <v>1515</v>
      </c>
    </row>
    <row r="385" spans="2:9" hidden="1" x14ac:dyDescent="0.25">
      <c r="B385" s="4" t="s">
        <v>1541</v>
      </c>
      <c r="C385" s="4" t="s">
        <v>1564</v>
      </c>
      <c r="D385" s="4" t="s">
        <v>1401</v>
      </c>
      <c r="E385" s="4" t="s">
        <v>1547</v>
      </c>
      <c r="F385" s="4">
        <v>2013</v>
      </c>
      <c r="G385" s="4" t="s">
        <v>1640</v>
      </c>
      <c r="H385" s="6">
        <v>0</v>
      </c>
      <c r="I385" s="6" t="s">
        <v>1515</v>
      </c>
    </row>
    <row r="386" spans="2:9" hidden="1" x14ac:dyDescent="0.25">
      <c r="B386" s="4" t="s">
        <v>1542</v>
      </c>
      <c r="C386" s="4" t="s">
        <v>1565</v>
      </c>
      <c r="D386" s="4" t="s">
        <v>1401</v>
      </c>
      <c r="E386" s="4" t="s">
        <v>1547</v>
      </c>
      <c r="F386" s="4">
        <v>2013</v>
      </c>
      <c r="G386" s="4" t="s">
        <v>1640</v>
      </c>
      <c r="H386" s="6">
        <v>0</v>
      </c>
      <c r="I386" s="6" t="s">
        <v>1515</v>
      </c>
    </row>
    <row r="387" spans="2:9" hidden="1" x14ac:dyDescent="0.25">
      <c r="B387" s="4" t="s">
        <v>1543</v>
      </c>
      <c r="C387" s="4" t="s">
        <v>1566</v>
      </c>
      <c r="D387" s="4" t="s">
        <v>1401</v>
      </c>
      <c r="E387" s="4" t="s">
        <v>1547</v>
      </c>
      <c r="F387" s="4">
        <v>2013</v>
      </c>
      <c r="G387" s="4" t="s">
        <v>1640</v>
      </c>
      <c r="H387" s="6">
        <v>0</v>
      </c>
      <c r="I387" s="6" t="s">
        <v>1515</v>
      </c>
    </row>
    <row r="388" spans="2:9" hidden="1" x14ac:dyDescent="0.25">
      <c r="B388" s="4" t="s">
        <v>1544</v>
      </c>
      <c r="C388" s="4" t="s">
        <v>1567</v>
      </c>
      <c r="D388" s="4" t="s">
        <v>1401</v>
      </c>
      <c r="E388" s="4" t="s">
        <v>1547</v>
      </c>
      <c r="F388" s="4">
        <v>2013</v>
      </c>
      <c r="G388" s="4" t="s">
        <v>1640</v>
      </c>
      <c r="H388" s="6">
        <v>0</v>
      </c>
      <c r="I388" s="6" t="s">
        <v>1515</v>
      </c>
    </row>
    <row r="389" spans="2:9" hidden="1" x14ac:dyDescent="0.25">
      <c r="B389" s="4" t="s">
        <v>1545</v>
      </c>
      <c r="C389" s="4" t="s">
        <v>1568</v>
      </c>
      <c r="D389" s="4" t="s">
        <v>1401</v>
      </c>
      <c r="E389" s="4" t="s">
        <v>1547</v>
      </c>
      <c r="F389" s="4">
        <v>2013</v>
      </c>
      <c r="G389" s="4" t="s">
        <v>1640</v>
      </c>
      <c r="H389" s="6">
        <v>0</v>
      </c>
      <c r="I389" s="6" t="s">
        <v>1515</v>
      </c>
    </row>
    <row r="390" spans="2:9" x14ac:dyDescent="0.25">
      <c r="B390" s="4" t="s">
        <v>1546</v>
      </c>
      <c r="C390" s="4" t="s">
        <v>1562</v>
      </c>
      <c r="D390" s="4" t="s">
        <v>1401</v>
      </c>
      <c r="E390" s="4" t="s">
        <v>1547</v>
      </c>
      <c r="F390" s="4">
        <v>2013</v>
      </c>
      <c r="G390" s="4" t="s">
        <v>1640</v>
      </c>
      <c r="H390" s="6">
        <v>1</v>
      </c>
      <c r="I390" s="6" t="s">
        <v>1515</v>
      </c>
    </row>
    <row r="391" spans="2:9" x14ac:dyDescent="0.25">
      <c r="B391" s="4" t="s">
        <v>1548</v>
      </c>
      <c r="C391" s="4" t="s">
        <v>1571</v>
      </c>
      <c r="D391" s="4" t="s">
        <v>1401</v>
      </c>
      <c r="E391" s="4" t="s">
        <v>1547</v>
      </c>
      <c r="F391" s="4">
        <v>2013</v>
      </c>
      <c r="G391" s="4" t="s">
        <v>1640</v>
      </c>
      <c r="H391" s="6">
        <v>1</v>
      </c>
      <c r="I391" s="6" t="s">
        <v>1515</v>
      </c>
    </row>
    <row r="392" spans="2:9" x14ac:dyDescent="0.25">
      <c r="B392" s="4" t="s">
        <v>1549</v>
      </c>
      <c r="C392" s="4" t="s">
        <v>1572</v>
      </c>
      <c r="D392" s="4" t="s">
        <v>1401</v>
      </c>
      <c r="E392" s="4" t="s">
        <v>1547</v>
      </c>
      <c r="F392" s="4">
        <v>2013</v>
      </c>
      <c r="G392" s="4" t="s">
        <v>1640</v>
      </c>
      <c r="H392" s="6">
        <v>1</v>
      </c>
      <c r="I392" s="6" t="s">
        <v>1515</v>
      </c>
    </row>
    <row r="393" spans="2:9" x14ac:dyDescent="0.25">
      <c r="B393" s="4" t="s">
        <v>1550</v>
      </c>
      <c r="C393" s="4" t="s">
        <v>1556</v>
      </c>
      <c r="D393" s="4" t="s">
        <v>1401</v>
      </c>
      <c r="E393" s="4" t="s">
        <v>1547</v>
      </c>
      <c r="F393" s="4">
        <v>2013</v>
      </c>
      <c r="G393" s="4" t="s">
        <v>1640</v>
      </c>
      <c r="H393" s="6">
        <v>1</v>
      </c>
      <c r="I393" s="6" t="s">
        <v>1515</v>
      </c>
    </row>
    <row r="394" spans="2:9" x14ac:dyDescent="0.25">
      <c r="B394" s="4" t="s">
        <v>1551</v>
      </c>
      <c r="C394" s="4" t="s">
        <v>1557</v>
      </c>
      <c r="D394" s="4" t="s">
        <v>1401</v>
      </c>
      <c r="E394" s="4" t="s">
        <v>1547</v>
      </c>
      <c r="F394" s="4">
        <v>2013</v>
      </c>
      <c r="G394" s="4" t="s">
        <v>1640</v>
      </c>
      <c r="H394" s="6">
        <v>1</v>
      </c>
      <c r="I394" s="6" t="s">
        <v>1515</v>
      </c>
    </row>
    <row r="395" spans="2:9" x14ac:dyDescent="0.25">
      <c r="B395" s="4" t="s">
        <v>1552</v>
      </c>
      <c r="C395" s="4" t="s">
        <v>1558</v>
      </c>
      <c r="D395" s="4" t="s">
        <v>1401</v>
      </c>
      <c r="E395" s="4" t="s">
        <v>1547</v>
      </c>
      <c r="F395" s="4">
        <v>2013</v>
      </c>
      <c r="G395" s="4" t="s">
        <v>1640</v>
      </c>
      <c r="H395" s="6">
        <v>1</v>
      </c>
      <c r="I395" s="6" t="s">
        <v>1515</v>
      </c>
    </row>
    <row r="396" spans="2:9" x14ac:dyDescent="0.25">
      <c r="B396" s="4" t="s">
        <v>1553</v>
      </c>
      <c r="C396" s="4" t="s">
        <v>1559</v>
      </c>
      <c r="D396" s="4" t="s">
        <v>1401</v>
      </c>
      <c r="E396" s="4" t="s">
        <v>1547</v>
      </c>
      <c r="F396" s="4">
        <v>2013</v>
      </c>
      <c r="G396" s="4" t="s">
        <v>1640</v>
      </c>
      <c r="H396" s="6">
        <v>1</v>
      </c>
      <c r="I396" s="6" t="s">
        <v>1515</v>
      </c>
    </row>
    <row r="397" spans="2:9" x14ac:dyDescent="0.25">
      <c r="B397" s="4" t="s">
        <v>1554</v>
      </c>
      <c r="C397" s="4" t="s">
        <v>1560</v>
      </c>
      <c r="D397" s="4" t="s">
        <v>1401</v>
      </c>
      <c r="E397" s="4" t="s">
        <v>1547</v>
      </c>
      <c r="F397" s="4">
        <v>2013</v>
      </c>
      <c r="G397" s="4" t="s">
        <v>1640</v>
      </c>
      <c r="H397" s="6">
        <v>1</v>
      </c>
      <c r="I397" s="6" t="s">
        <v>1515</v>
      </c>
    </row>
    <row r="398" spans="2:9" x14ac:dyDescent="0.25">
      <c r="B398" s="4" t="s">
        <v>1555</v>
      </c>
      <c r="C398" s="4" t="s">
        <v>1561</v>
      </c>
      <c r="D398" s="4" t="s">
        <v>1401</v>
      </c>
      <c r="E398" s="4" t="s">
        <v>1547</v>
      </c>
      <c r="F398" s="4">
        <v>2013</v>
      </c>
      <c r="G398" s="4" t="s">
        <v>1640</v>
      </c>
      <c r="H398" s="6">
        <v>1</v>
      </c>
      <c r="I398" s="6" t="s">
        <v>1515</v>
      </c>
    </row>
    <row r="399" spans="2:9" hidden="1" x14ac:dyDescent="0.25">
      <c r="B399" s="4" t="s">
        <v>1145</v>
      </c>
      <c r="C399" s="4" t="s">
        <v>1713</v>
      </c>
      <c r="D399" s="4" t="s">
        <v>918</v>
      </c>
      <c r="E399" s="4" t="s">
        <v>1440</v>
      </c>
      <c r="F399" s="4">
        <v>2017</v>
      </c>
      <c r="G399" s="4" t="s">
        <v>1447</v>
      </c>
      <c r="H399" s="6">
        <v>0</v>
      </c>
      <c r="I399" s="6" t="s">
        <v>1515</v>
      </c>
    </row>
    <row r="400" spans="2:9" hidden="1" x14ac:dyDescent="0.25">
      <c r="B400" s="4" t="s">
        <v>73</v>
      </c>
      <c r="C400" s="4" t="s">
        <v>93</v>
      </c>
      <c r="D400" s="4" t="s">
        <v>918</v>
      </c>
      <c r="E400" s="4" t="s">
        <v>1440</v>
      </c>
      <c r="F400" s="4">
        <v>2017</v>
      </c>
      <c r="G400" s="4" t="s">
        <v>1447</v>
      </c>
      <c r="H400" s="6">
        <v>0</v>
      </c>
      <c r="I400" s="6" t="s">
        <v>1515</v>
      </c>
    </row>
    <row r="401" spans="2:9" hidden="1" x14ac:dyDescent="0.25">
      <c r="B401" s="4" t="s">
        <v>74</v>
      </c>
      <c r="C401" s="4" t="s">
        <v>94</v>
      </c>
      <c r="D401" s="4" t="s">
        <v>918</v>
      </c>
      <c r="E401" s="4" t="s">
        <v>1440</v>
      </c>
      <c r="F401" s="4">
        <v>2017</v>
      </c>
      <c r="G401" s="4" t="s">
        <v>1447</v>
      </c>
      <c r="H401" s="6">
        <v>0</v>
      </c>
      <c r="I401" s="6" t="s">
        <v>1515</v>
      </c>
    </row>
    <row r="402" spans="2:9" x14ac:dyDescent="0.25">
      <c r="B402" s="4" t="s">
        <v>75</v>
      </c>
      <c r="C402" s="4" t="s">
        <v>79</v>
      </c>
      <c r="D402" s="4" t="s">
        <v>918</v>
      </c>
      <c r="E402" s="4" t="s">
        <v>1440</v>
      </c>
      <c r="F402" s="4">
        <v>2017</v>
      </c>
      <c r="G402" s="4" t="s">
        <v>1447</v>
      </c>
      <c r="H402" s="6">
        <v>1</v>
      </c>
      <c r="I402" s="6" t="s">
        <v>1515</v>
      </c>
    </row>
    <row r="403" spans="2:9" x14ac:dyDescent="0.25">
      <c r="B403" s="4" t="s">
        <v>58</v>
      </c>
      <c r="C403" s="4" t="s">
        <v>59</v>
      </c>
      <c r="D403" s="4" t="s">
        <v>918</v>
      </c>
      <c r="E403" s="4" t="s">
        <v>899</v>
      </c>
      <c r="F403" s="4">
        <v>2017</v>
      </c>
      <c r="G403" s="4" t="s">
        <v>1447</v>
      </c>
      <c r="H403" s="6">
        <v>1</v>
      </c>
      <c r="I403" s="6" t="s">
        <v>1515</v>
      </c>
    </row>
    <row r="404" spans="2:9" x14ac:dyDescent="0.25">
      <c r="B404" s="4" t="s">
        <v>60</v>
      </c>
      <c r="C404" s="4" t="s">
        <v>60</v>
      </c>
      <c r="D404" s="4" t="s">
        <v>918</v>
      </c>
      <c r="E404" s="4" t="s">
        <v>899</v>
      </c>
      <c r="F404" s="4">
        <v>2017</v>
      </c>
      <c r="G404" s="4" t="s">
        <v>1447</v>
      </c>
      <c r="H404" s="6">
        <v>1</v>
      </c>
      <c r="I404" s="6" t="s">
        <v>1515</v>
      </c>
    </row>
    <row r="405" spans="2:9" hidden="1" x14ac:dyDescent="0.25">
      <c r="B405" s="4" t="s">
        <v>1146</v>
      </c>
      <c r="C405" s="4" t="s">
        <v>853</v>
      </c>
      <c r="D405" s="4" t="s">
        <v>918</v>
      </c>
      <c r="E405" s="4" t="s">
        <v>899</v>
      </c>
      <c r="F405" s="4">
        <v>2017</v>
      </c>
      <c r="G405" s="4" t="s">
        <v>1447</v>
      </c>
      <c r="H405" s="6">
        <v>0</v>
      </c>
      <c r="I405" s="6" t="s">
        <v>1515</v>
      </c>
    </row>
    <row r="406" spans="2:9" hidden="1" x14ac:dyDescent="0.25">
      <c r="B406" s="4" t="s">
        <v>1147</v>
      </c>
      <c r="C406" s="4" t="s">
        <v>854</v>
      </c>
      <c r="D406" s="4" t="s">
        <v>918</v>
      </c>
      <c r="E406" s="4" t="s">
        <v>899</v>
      </c>
      <c r="F406" s="4">
        <v>2017</v>
      </c>
      <c r="G406" s="4" t="s">
        <v>1447</v>
      </c>
      <c r="H406" s="6">
        <v>0</v>
      </c>
      <c r="I406" s="6" t="s">
        <v>1515</v>
      </c>
    </row>
    <row r="407" spans="2:9" hidden="1" x14ac:dyDescent="0.25">
      <c r="B407" s="4" t="s">
        <v>1148</v>
      </c>
      <c r="C407" s="4" t="s">
        <v>855</v>
      </c>
      <c r="D407" s="4" t="s">
        <v>918</v>
      </c>
      <c r="E407" s="4" t="s">
        <v>899</v>
      </c>
      <c r="F407" s="4">
        <v>2017</v>
      </c>
      <c r="G407" s="4" t="s">
        <v>1447</v>
      </c>
      <c r="H407" s="6">
        <v>0</v>
      </c>
      <c r="I407" s="6" t="s">
        <v>1515</v>
      </c>
    </row>
    <row r="408" spans="2:9" hidden="1" x14ac:dyDescent="0.25">
      <c r="B408" s="4" t="s">
        <v>1149</v>
      </c>
      <c r="C408" s="4" t="s">
        <v>856</v>
      </c>
      <c r="D408" s="4" t="s">
        <v>918</v>
      </c>
      <c r="E408" s="4" t="s">
        <v>899</v>
      </c>
      <c r="F408" s="4">
        <v>2017</v>
      </c>
      <c r="G408" s="4" t="s">
        <v>1447</v>
      </c>
      <c r="H408" s="6">
        <v>0</v>
      </c>
      <c r="I408" s="6" t="s">
        <v>1515</v>
      </c>
    </row>
    <row r="409" spans="2:9" hidden="1" x14ac:dyDescent="0.25">
      <c r="B409" s="4" t="s">
        <v>1150</v>
      </c>
      <c r="C409" s="4" t="s">
        <v>857</v>
      </c>
      <c r="D409" s="4" t="s">
        <v>918</v>
      </c>
      <c r="E409" s="4" t="s">
        <v>899</v>
      </c>
      <c r="F409" s="4">
        <v>2017</v>
      </c>
      <c r="G409" s="4" t="s">
        <v>1447</v>
      </c>
      <c r="H409" s="6">
        <v>0</v>
      </c>
      <c r="I409" s="6" t="s">
        <v>1515</v>
      </c>
    </row>
    <row r="410" spans="2:9" x14ac:dyDescent="0.25">
      <c r="B410" s="4" t="s">
        <v>61</v>
      </c>
      <c r="C410" s="4" t="s">
        <v>858</v>
      </c>
      <c r="D410" s="4" t="s">
        <v>918</v>
      </c>
      <c r="E410" s="4" t="s">
        <v>899</v>
      </c>
      <c r="F410" s="4">
        <v>2017</v>
      </c>
      <c r="G410" s="4" t="s">
        <v>1447</v>
      </c>
      <c r="H410" s="6">
        <v>1</v>
      </c>
      <c r="I410" s="6" t="s">
        <v>1515</v>
      </c>
    </row>
    <row r="411" spans="2:9" hidden="1" x14ac:dyDescent="0.25">
      <c r="B411" s="4" t="s">
        <v>1518</v>
      </c>
      <c r="C411" s="4" t="s">
        <v>859</v>
      </c>
      <c r="D411" s="4" t="s">
        <v>918</v>
      </c>
      <c r="E411" s="4" t="s">
        <v>899</v>
      </c>
      <c r="F411" s="4">
        <v>2017</v>
      </c>
      <c r="G411" s="4" t="s">
        <v>1447</v>
      </c>
      <c r="H411" s="6">
        <v>0</v>
      </c>
      <c r="I411" s="6" t="s">
        <v>1515</v>
      </c>
    </row>
    <row r="412" spans="2:9" hidden="1" x14ac:dyDescent="0.25">
      <c r="B412" s="4" t="s">
        <v>1151</v>
      </c>
      <c r="C412" s="4" t="s">
        <v>860</v>
      </c>
      <c r="D412" s="4" t="s">
        <v>918</v>
      </c>
      <c r="E412" s="4" t="s">
        <v>899</v>
      </c>
      <c r="F412" s="4">
        <v>2017</v>
      </c>
      <c r="G412" s="4" t="s">
        <v>1447</v>
      </c>
      <c r="H412" s="6">
        <v>0</v>
      </c>
      <c r="I412" s="6" t="s">
        <v>1515</v>
      </c>
    </row>
    <row r="413" spans="2:9" hidden="1" x14ac:dyDescent="0.25">
      <c r="B413" s="4" t="s">
        <v>1152</v>
      </c>
      <c r="C413" s="4" t="s">
        <v>861</v>
      </c>
      <c r="D413" s="4" t="s">
        <v>918</v>
      </c>
      <c r="E413" s="4" t="s">
        <v>899</v>
      </c>
      <c r="F413" s="4">
        <v>2017</v>
      </c>
      <c r="G413" s="4" t="s">
        <v>1447</v>
      </c>
      <c r="H413" s="6">
        <v>0</v>
      </c>
      <c r="I413" s="6" t="s">
        <v>1515</v>
      </c>
    </row>
    <row r="414" spans="2:9" hidden="1" x14ac:dyDescent="0.25">
      <c r="B414" s="4" t="s">
        <v>1153</v>
      </c>
      <c r="C414" s="4" t="s">
        <v>862</v>
      </c>
      <c r="D414" s="4" t="s">
        <v>918</v>
      </c>
      <c r="E414" s="4" t="s">
        <v>899</v>
      </c>
      <c r="F414" s="4">
        <v>2017</v>
      </c>
      <c r="G414" s="4" t="s">
        <v>1447</v>
      </c>
      <c r="H414" s="6">
        <v>0</v>
      </c>
      <c r="I414" s="6" t="s">
        <v>1515</v>
      </c>
    </row>
    <row r="415" spans="2:9" hidden="1" x14ac:dyDescent="0.25">
      <c r="B415" s="4" t="s">
        <v>76</v>
      </c>
      <c r="C415" s="4" t="s">
        <v>78</v>
      </c>
      <c r="D415" s="4" t="s">
        <v>918</v>
      </c>
      <c r="E415" s="4" t="s">
        <v>899</v>
      </c>
      <c r="F415" s="4">
        <v>2017</v>
      </c>
      <c r="G415" s="4" t="s">
        <v>1447</v>
      </c>
      <c r="H415" s="6">
        <v>0</v>
      </c>
      <c r="I415" s="6" t="s">
        <v>1515</v>
      </c>
    </row>
    <row r="416" spans="2:9" x14ac:dyDescent="0.25">
      <c r="B416" s="4" t="s">
        <v>62</v>
      </c>
      <c r="C416" s="4" t="s">
        <v>1350</v>
      </c>
      <c r="D416" s="4" t="s">
        <v>918</v>
      </c>
      <c r="E416" s="4" t="s">
        <v>899</v>
      </c>
      <c r="F416" s="4">
        <v>2017</v>
      </c>
      <c r="G416" s="4" t="s">
        <v>1447</v>
      </c>
      <c r="H416" s="6">
        <v>1</v>
      </c>
      <c r="I416" s="6" t="s">
        <v>1515</v>
      </c>
    </row>
    <row r="417" spans="2:9" x14ac:dyDescent="0.25">
      <c r="B417" s="4" t="s">
        <v>63</v>
      </c>
      <c r="C417" s="4" t="s">
        <v>64</v>
      </c>
      <c r="D417" s="4" t="s">
        <v>918</v>
      </c>
      <c r="E417" s="4" t="s">
        <v>899</v>
      </c>
      <c r="F417" s="4">
        <v>2017</v>
      </c>
      <c r="G417" s="4" t="s">
        <v>1447</v>
      </c>
      <c r="H417" s="6">
        <v>1</v>
      </c>
      <c r="I417" s="6" t="s">
        <v>1515</v>
      </c>
    </row>
    <row r="418" spans="2:9" hidden="1" x14ac:dyDescent="0.25">
      <c r="B418" s="4" t="s">
        <v>1154</v>
      </c>
      <c r="C418" s="4" t="s">
        <v>863</v>
      </c>
      <c r="D418" s="4" t="s">
        <v>918</v>
      </c>
      <c r="E418" s="4" t="s">
        <v>899</v>
      </c>
      <c r="F418" s="4">
        <v>2017</v>
      </c>
      <c r="G418" s="4" t="s">
        <v>1447</v>
      </c>
      <c r="H418" s="6">
        <v>0</v>
      </c>
      <c r="I418" s="6" t="s">
        <v>1515</v>
      </c>
    </row>
    <row r="419" spans="2:9" hidden="1" x14ac:dyDescent="0.25">
      <c r="B419" s="4" t="s">
        <v>1155</v>
      </c>
      <c r="C419" s="4" t="s">
        <v>864</v>
      </c>
      <c r="D419" s="4" t="s">
        <v>918</v>
      </c>
      <c r="E419" s="4" t="s">
        <v>899</v>
      </c>
      <c r="F419" s="4">
        <v>2017</v>
      </c>
      <c r="G419" s="4" t="s">
        <v>1447</v>
      </c>
      <c r="H419" s="6">
        <v>0</v>
      </c>
      <c r="I419" s="6" t="s">
        <v>1515</v>
      </c>
    </row>
    <row r="420" spans="2:9" hidden="1" x14ac:dyDescent="0.25">
      <c r="B420" s="4" t="s">
        <v>1156</v>
      </c>
      <c r="C420" s="4" t="s">
        <v>865</v>
      </c>
      <c r="D420" s="4" t="s">
        <v>918</v>
      </c>
      <c r="E420" s="4" t="s">
        <v>899</v>
      </c>
      <c r="F420" s="4">
        <v>2017</v>
      </c>
      <c r="G420" s="4" t="s">
        <v>1447</v>
      </c>
      <c r="H420" s="6">
        <v>0</v>
      </c>
      <c r="I420" s="6" t="s">
        <v>1515</v>
      </c>
    </row>
    <row r="421" spans="2:9" x14ac:dyDescent="0.25">
      <c r="B421" s="4" t="s">
        <v>65</v>
      </c>
      <c r="C421" s="4" t="s">
        <v>66</v>
      </c>
      <c r="D421" s="4" t="s">
        <v>918</v>
      </c>
      <c r="E421" s="4" t="s">
        <v>899</v>
      </c>
      <c r="F421" s="4">
        <v>2017</v>
      </c>
      <c r="G421" s="4" t="s">
        <v>1447</v>
      </c>
      <c r="H421" s="6">
        <v>1</v>
      </c>
      <c r="I421" s="6" t="s">
        <v>1515</v>
      </c>
    </row>
    <row r="422" spans="2:9" x14ac:dyDescent="0.25">
      <c r="B422" s="4" t="s">
        <v>67</v>
      </c>
      <c r="C422" s="4" t="s">
        <v>68</v>
      </c>
      <c r="D422" s="4" t="s">
        <v>918</v>
      </c>
      <c r="E422" s="4" t="s">
        <v>899</v>
      </c>
      <c r="F422" s="4">
        <v>2017</v>
      </c>
      <c r="G422" s="4" t="s">
        <v>1447</v>
      </c>
      <c r="H422" s="6">
        <v>1</v>
      </c>
      <c r="I422" s="6" t="s">
        <v>1515</v>
      </c>
    </row>
    <row r="423" spans="2:9" x14ac:dyDescent="0.25">
      <c r="B423" s="4" t="s">
        <v>69</v>
      </c>
      <c r="C423" s="4" t="s">
        <v>70</v>
      </c>
      <c r="D423" s="4" t="s">
        <v>918</v>
      </c>
      <c r="E423" s="4" t="s">
        <v>899</v>
      </c>
      <c r="F423" s="4">
        <v>2017</v>
      </c>
      <c r="G423" s="4" t="s">
        <v>1447</v>
      </c>
      <c r="H423" s="6">
        <v>1</v>
      </c>
      <c r="I423" s="6" t="s">
        <v>1515</v>
      </c>
    </row>
    <row r="424" spans="2:9" hidden="1" x14ac:dyDescent="0.25">
      <c r="B424" s="4" t="s">
        <v>77</v>
      </c>
      <c r="C424" s="4" t="s">
        <v>1714</v>
      </c>
      <c r="D424" s="4" t="s">
        <v>918</v>
      </c>
      <c r="E424" s="4" t="s">
        <v>1440</v>
      </c>
      <c r="F424" s="4">
        <v>2017</v>
      </c>
      <c r="G424" s="4" t="s">
        <v>1447</v>
      </c>
      <c r="H424" s="6">
        <v>0</v>
      </c>
      <c r="I424" s="6" t="s">
        <v>1515</v>
      </c>
    </row>
    <row r="425" spans="2:9" x14ac:dyDescent="0.25">
      <c r="B425" s="4" t="s">
        <v>1679</v>
      </c>
      <c r="C425" s="4" t="s">
        <v>95</v>
      </c>
      <c r="D425" s="4" t="s">
        <v>918</v>
      </c>
      <c r="E425" s="4" t="s">
        <v>1440</v>
      </c>
      <c r="F425" s="4">
        <v>2017</v>
      </c>
      <c r="G425" s="4" t="s">
        <v>1447</v>
      </c>
      <c r="H425" s="6">
        <v>1</v>
      </c>
      <c r="I425" s="6" t="s">
        <v>1515</v>
      </c>
    </row>
    <row r="426" spans="2:9" x14ac:dyDescent="0.25">
      <c r="B426" s="4" t="s">
        <v>1680</v>
      </c>
      <c r="C426" s="4" t="s">
        <v>866</v>
      </c>
      <c r="D426" s="4" t="s">
        <v>918</v>
      </c>
      <c r="E426" s="4" t="s">
        <v>1440</v>
      </c>
      <c r="F426" s="4">
        <v>2017</v>
      </c>
      <c r="G426" s="4" t="s">
        <v>1447</v>
      </c>
      <c r="H426" s="6">
        <v>1</v>
      </c>
      <c r="I426" s="6" t="s">
        <v>1515</v>
      </c>
    </row>
    <row r="427" spans="2:9" x14ac:dyDescent="0.25">
      <c r="B427" s="4" t="s">
        <v>1622</v>
      </c>
      <c r="C427" s="4" t="s">
        <v>1631</v>
      </c>
      <c r="D427" s="4" t="s">
        <v>1236</v>
      </c>
      <c r="E427" s="4" t="s">
        <v>1628</v>
      </c>
      <c r="F427" s="4">
        <v>2014</v>
      </c>
      <c r="G427" s="4" t="s">
        <v>1348</v>
      </c>
      <c r="H427" s="6">
        <v>1</v>
      </c>
      <c r="I427" s="6" t="s">
        <v>1515</v>
      </c>
    </row>
    <row r="428" spans="2:9" x14ac:dyDescent="0.25">
      <c r="B428" s="4" t="s">
        <v>1623</v>
      </c>
      <c r="C428" s="4" t="s">
        <v>1632</v>
      </c>
      <c r="D428" s="4" t="s">
        <v>1236</v>
      </c>
      <c r="E428" s="4" t="s">
        <v>1628</v>
      </c>
      <c r="F428" s="4">
        <v>2014</v>
      </c>
      <c r="G428" s="4" t="s">
        <v>1348</v>
      </c>
      <c r="H428" s="6">
        <v>1</v>
      </c>
      <c r="I428" s="6" t="s">
        <v>1515</v>
      </c>
    </row>
    <row r="429" spans="2:9" x14ac:dyDescent="0.25">
      <c r="B429" s="4" t="s">
        <v>1624</v>
      </c>
      <c r="C429" s="4" t="s">
        <v>1633</v>
      </c>
      <c r="D429" s="4" t="s">
        <v>1236</v>
      </c>
      <c r="E429" s="4" t="s">
        <v>1628</v>
      </c>
      <c r="F429" s="4">
        <v>2014</v>
      </c>
      <c r="G429" s="4" t="s">
        <v>1348</v>
      </c>
      <c r="H429" s="6">
        <v>1</v>
      </c>
      <c r="I429" s="6" t="s">
        <v>1515</v>
      </c>
    </row>
    <row r="430" spans="2:9" x14ac:dyDescent="0.25">
      <c r="B430" s="4" t="s">
        <v>1625</v>
      </c>
      <c r="C430" s="4" t="s">
        <v>1634</v>
      </c>
      <c r="D430" s="4" t="s">
        <v>1236</v>
      </c>
      <c r="E430" s="4" t="s">
        <v>1628</v>
      </c>
      <c r="F430" s="4">
        <v>2014</v>
      </c>
      <c r="G430" s="4" t="s">
        <v>1348</v>
      </c>
      <c r="H430" s="6">
        <v>1</v>
      </c>
      <c r="I430" s="6" t="s">
        <v>1515</v>
      </c>
    </row>
    <row r="431" spans="2:9" x14ac:dyDescent="0.25">
      <c r="B431" s="4" t="s">
        <v>1626</v>
      </c>
      <c r="C431" s="4" t="s">
        <v>1750</v>
      </c>
      <c r="D431" s="4" t="s">
        <v>1236</v>
      </c>
      <c r="E431" s="4" t="s">
        <v>1628</v>
      </c>
      <c r="F431" s="4">
        <v>2014</v>
      </c>
      <c r="G431" s="4" t="s">
        <v>1348</v>
      </c>
      <c r="H431" s="6">
        <v>1</v>
      </c>
      <c r="I431" s="6" t="s">
        <v>1515</v>
      </c>
    </row>
    <row r="432" spans="2:9" x14ac:dyDescent="0.25">
      <c r="B432" s="4" t="s">
        <v>1627</v>
      </c>
      <c r="C432" s="4" t="s">
        <v>1635</v>
      </c>
      <c r="D432" s="4" t="s">
        <v>1236</v>
      </c>
      <c r="E432" s="4" t="s">
        <v>1628</v>
      </c>
      <c r="F432" s="4">
        <v>2014</v>
      </c>
      <c r="G432" s="4" t="s">
        <v>1348</v>
      </c>
      <c r="H432" s="6">
        <v>1</v>
      </c>
      <c r="I432" s="6" t="s">
        <v>1515</v>
      </c>
    </row>
    <row r="433" spans="2:9" x14ac:dyDescent="0.25">
      <c r="B433" s="4" t="s">
        <v>1629</v>
      </c>
      <c r="C433" s="4" t="s">
        <v>1630</v>
      </c>
      <c r="D433" s="4" t="s">
        <v>1236</v>
      </c>
      <c r="E433" s="4" t="s">
        <v>1628</v>
      </c>
      <c r="F433" s="4">
        <v>2014</v>
      </c>
      <c r="G433" s="4" t="s">
        <v>1348</v>
      </c>
      <c r="H433" s="6">
        <v>1</v>
      </c>
      <c r="I433" s="6" t="s">
        <v>1515</v>
      </c>
    </row>
    <row r="434" spans="2:9" x14ac:dyDescent="0.25">
      <c r="B434" s="4" t="s">
        <v>7</v>
      </c>
      <c r="C434" s="4" t="s">
        <v>8</v>
      </c>
      <c r="D434" s="4" t="s">
        <v>9</v>
      </c>
      <c r="E434" s="4" t="s">
        <v>923</v>
      </c>
      <c r="F434" s="4">
        <v>2013</v>
      </c>
      <c r="G434" s="4" t="s">
        <v>901</v>
      </c>
      <c r="H434" s="6">
        <v>1</v>
      </c>
      <c r="I434" s="6" t="s">
        <v>97</v>
      </c>
    </row>
    <row r="435" spans="2:9" hidden="1" x14ac:dyDescent="0.25">
      <c r="B435" s="4" t="s">
        <v>945</v>
      </c>
      <c r="C435" s="4" t="s">
        <v>751</v>
      </c>
      <c r="D435" s="4" t="s">
        <v>9</v>
      </c>
      <c r="E435" s="4" t="s">
        <v>923</v>
      </c>
      <c r="F435" s="4">
        <v>2013</v>
      </c>
      <c r="G435" s="4" t="s">
        <v>901</v>
      </c>
      <c r="H435" s="6">
        <v>0</v>
      </c>
      <c r="I435" s="6" t="s">
        <v>97</v>
      </c>
    </row>
    <row r="436" spans="2:9" hidden="1" x14ac:dyDescent="0.25">
      <c r="B436" s="4" t="s">
        <v>946</v>
      </c>
      <c r="C436" s="4" t="s">
        <v>809</v>
      </c>
      <c r="D436" s="4" t="s">
        <v>9</v>
      </c>
      <c r="E436" s="4" t="s">
        <v>923</v>
      </c>
      <c r="F436" s="4">
        <v>2013</v>
      </c>
      <c r="G436" s="4" t="s">
        <v>901</v>
      </c>
      <c r="H436" s="6">
        <v>0</v>
      </c>
      <c r="I436" s="6" t="s">
        <v>97</v>
      </c>
    </row>
    <row r="437" spans="2:9" hidden="1" x14ac:dyDescent="0.25">
      <c r="B437" s="4" t="s">
        <v>947</v>
      </c>
      <c r="C437" s="4" t="s">
        <v>678</v>
      </c>
      <c r="D437" s="4" t="s">
        <v>9</v>
      </c>
      <c r="E437" s="4" t="s">
        <v>923</v>
      </c>
      <c r="F437" s="4">
        <v>2013</v>
      </c>
      <c r="G437" s="4" t="s">
        <v>901</v>
      </c>
      <c r="H437" s="6">
        <v>0</v>
      </c>
      <c r="I437" s="6" t="s">
        <v>97</v>
      </c>
    </row>
    <row r="438" spans="2:9" hidden="1" x14ac:dyDescent="0.25">
      <c r="B438" s="4" t="s">
        <v>338</v>
      </c>
      <c r="C438" s="4" t="s">
        <v>679</v>
      </c>
      <c r="D438" s="4" t="s">
        <v>9</v>
      </c>
      <c r="E438" s="4" t="s">
        <v>923</v>
      </c>
      <c r="F438" s="4">
        <v>2013</v>
      </c>
      <c r="G438" s="4" t="s">
        <v>901</v>
      </c>
      <c r="H438" s="6">
        <v>0</v>
      </c>
      <c r="I438" s="6" t="s">
        <v>97</v>
      </c>
    </row>
    <row r="439" spans="2:9" hidden="1" x14ac:dyDescent="0.25">
      <c r="B439" s="4" t="s">
        <v>339</v>
      </c>
      <c r="C439" s="4" t="s">
        <v>601</v>
      </c>
      <c r="D439" s="4" t="s">
        <v>9</v>
      </c>
      <c r="E439" s="4" t="s">
        <v>923</v>
      </c>
      <c r="F439" s="4">
        <v>2013</v>
      </c>
      <c r="G439" s="4" t="s">
        <v>901</v>
      </c>
      <c r="H439" s="6">
        <v>0</v>
      </c>
      <c r="I439" s="6" t="s">
        <v>97</v>
      </c>
    </row>
    <row r="440" spans="2:9" hidden="1" x14ac:dyDescent="0.25">
      <c r="B440" s="4" t="s">
        <v>340</v>
      </c>
      <c r="C440" s="4" t="s">
        <v>770</v>
      </c>
      <c r="D440" s="4" t="s">
        <v>9</v>
      </c>
      <c r="E440" s="4" t="s">
        <v>923</v>
      </c>
      <c r="F440" s="4">
        <v>2013</v>
      </c>
      <c r="G440" s="4" t="s">
        <v>901</v>
      </c>
      <c r="H440" s="6">
        <v>0</v>
      </c>
      <c r="I440" s="6" t="s">
        <v>97</v>
      </c>
    </row>
    <row r="441" spans="2:9" hidden="1" x14ac:dyDescent="0.25">
      <c r="B441" s="4" t="s">
        <v>341</v>
      </c>
      <c r="C441" s="4" t="s">
        <v>771</v>
      </c>
      <c r="D441" s="4" t="s">
        <v>9</v>
      </c>
      <c r="E441" s="4" t="s">
        <v>923</v>
      </c>
      <c r="F441" s="4">
        <v>2013</v>
      </c>
      <c r="G441" s="4" t="s">
        <v>901</v>
      </c>
      <c r="H441" s="6">
        <v>0</v>
      </c>
      <c r="I441" s="6" t="s">
        <v>97</v>
      </c>
    </row>
    <row r="442" spans="2:9" hidden="1" x14ac:dyDescent="0.25">
      <c r="B442" s="4" t="s">
        <v>342</v>
      </c>
      <c r="C442" s="4" t="s">
        <v>773</v>
      </c>
      <c r="D442" s="4" t="s">
        <v>9</v>
      </c>
      <c r="E442" s="4" t="s">
        <v>923</v>
      </c>
      <c r="F442" s="4">
        <v>2013</v>
      </c>
      <c r="G442" s="4" t="s">
        <v>901</v>
      </c>
      <c r="H442" s="6">
        <v>0</v>
      </c>
      <c r="I442" s="6" t="s">
        <v>97</v>
      </c>
    </row>
    <row r="443" spans="2:9" hidden="1" x14ac:dyDescent="0.25">
      <c r="B443" s="4" t="s">
        <v>343</v>
      </c>
      <c r="C443" s="4" t="s">
        <v>775</v>
      </c>
      <c r="D443" s="4" t="s">
        <v>9</v>
      </c>
      <c r="E443" s="4" t="s">
        <v>923</v>
      </c>
      <c r="F443" s="4">
        <v>2013</v>
      </c>
      <c r="G443" s="4" t="s">
        <v>901</v>
      </c>
      <c r="H443" s="6">
        <v>0</v>
      </c>
      <c r="I443" s="6" t="s">
        <v>97</v>
      </c>
    </row>
    <row r="444" spans="2:9" hidden="1" x14ac:dyDescent="0.25">
      <c r="B444" s="4" t="s">
        <v>344</v>
      </c>
      <c r="C444" s="4" t="s">
        <v>776</v>
      </c>
      <c r="D444" s="4" t="s">
        <v>9</v>
      </c>
      <c r="E444" s="4" t="s">
        <v>923</v>
      </c>
      <c r="F444" s="4">
        <v>2013</v>
      </c>
      <c r="G444" s="4" t="s">
        <v>901</v>
      </c>
      <c r="H444" s="6">
        <v>0</v>
      </c>
      <c r="I444" s="6" t="s">
        <v>97</v>
      </c>
    </row>
    <row r="445" spans="2:9" hidden="1" x14ac:dyDescent="0.25">
      <c r="B445" s="4" t="s">
        <v>345</v>
      </c>
      <c r="C445" s="4" t="s">
        <v>684</v>
      </c>
      <c r="D445" s="4" t="s">
        <v>9</v>
      </c>
      <c r="E445" s="4" t="s">
        <v>923</v>
      </c>
      <c r="F445" s="4">
        <v>2013</v>
      </c>
      <c r="G445" s="4" t="s">
        <v>901</v>
      </c>
      <c r="H445" s="6">
        <v>0</v>
      </c>
      <c r="I445" s="6" t="s">
        <v>97</v>
      </c>
    </row>
    <row r="446" spans="2:9" hidden="1" x14ac:dyDescent="0.25">
      <c r="B446" s="4" t="s">
        <v>346</v>
      </c>
      <c r="C446" s="4" t="s">
        <v>760</v>
      </c>
      <c r="D446" s="4" t="s">
        <v>9</v>
      </c>
      <c r="E446" s="4" t="s">
        <v>923</v>
      </c>
      <c r="F446" s="4">
        <v>2013</v>
      </c>
      <c r="G446" s="4" t="s">
        <v>901</v>
      </c>
      <c r="H446" s="6">
        <v>0</v>
      </c>
      <c r="I446" s="6" t="s">
        <v>97</v>
      </c>
    </row>
    <row r="447" spans="2:9" hidden="1" x14ac:dyDescent="0.25">
      <c r="B447" s="4" t="s">
        <v>347</v>
      </c>
      <c r="C447" s="4" t="s">
        <v>686</v>
      </c>
      <c r="D447" s="4" t="s">
        <v>9</v>
      </c>
      <c r="E447" s="4" t="s">
        <v>923</v>
      </c>
      <c r="F447" s="4">
        <v>2013</v>
      </c>
      <c r="G447" s="4" t="s">
        <v>901</v>
      </c>
      <c r="H447" s="6">
        <v>0</v>
      </c>
      <c r="I447" s="6" t="s">
        <v>97</v>
      </c>
    </row>
    <row r="448" spans="2:9" hidden="1" x14ac:dyDescent="0.25">
      <c r="B448" s="4" t="s">
        <v>348</v>
      </c>
      <c r="C448" s="4" t="s">
        <v>752</v>
      </c>
      <c r="D448" s="4" t="s">
        <v>9</v>
      </c>
      <c r="E448" s="4" t="s">
        <v>923</v>
      </c>
      <c r="F448" s="4">
        <v>2013</v>
      </c>
      <c r="G448" s="4" t="s">
        <v>901</v>
      </c>
      <c r="H448" s="6">
        <v>0</v>
      </c>
      <c r="I448" s="6" t="s">
        <v>97</v>
      </c>
    </row>
    <row r="449" spans="2:9" hidden="1" x14ac:dyDescent="0.25">
      <c r="B449" s="4" t="s">
        <v>349</v>
      </c>
      <c r="C449" s="4" t="s">
        <v>685</v>
      </c>
      <c r="D449" s="4" t="s">
        <v>9</v>
      </c>
      <c r="E449" s="4" t="s">
        <v>923</v>
      </c>
      <c r="F449" s="4">
        <v>2013</v>
      </c>
      <c r="G449" s="4" t="s">
        <v>901</v>
      </c>
      <c r="H449" s="6">
        <v>0</v>
      </c>
      <c r="I449" s="6" t="s">
        <v>97</v>
      </c>
    </row>
    <row r="450" spans="2:9" hidden="1" x14ac:dyDescent="0.25">
      <c r="B450" s="4" t="s">
        <v>350</v>
      </c>
      <c r="C450" s="4" t="s">
        <v>800</v>
      </c>
      <c r="D450" s="4" t="s">
        <v>9</v>
      </c>
      <c r="E450" s="4" t="s">
        <v>923</v>
      </c>
      <c r="F450" s="4">
        <v>2013</v>
      </c>
      <c r="G450" s="4" t="s">
        <v>901</v>
      </c>
      <c r="H450" s="6">
        <v>0</v>
      </c>
      <c r="I450" s="6" t="s">
        <v>97</v>
      </c>
    </row>
    <row r="451" spans="2:9" hidden="1" x14ac:dyDescent="0.25">
      <c r="B451" s="4" t="s">
        <v>351</v>
      </c>
      <c r="C451" s="4" t="s">
        <v>772</v>
      </c>
      <c r="D451" s="4" t="s">
        <v>9</v>
      </c>
      <c r="E451" s="4" t="s">
        <v>923</v>
      </c>
      <c r="F451" s="4">
        <v>2013</v>
      </c>
      <c r="G451" s="4" t="s">
        <v>901</v>
      </c>
      <c r="H451" s="6">
        <v>0</v>
      </c>
      <c r="I451" s="6" t="s">
        <v>97</v>
      </c>
    </row>
    <row r="452" spans="2:9" hidden="1" x14ac:dyDescent="0.25">
      <c r="B452" s="4" t="s">
        <v>352</v>
      </c>
      <c r="C452" s="4" t="s">
        <v>774</v>
      </c>
      <c r="D452" s="4" t="s">
        <v>9</v>
      </c>
      <c r="E452" s="4" t="s">
        <v>923</v>
      </c>
      <c r="F452" s="4">
        <v>2013</v>
      </c>
      <c r="G452" s="4" t="s">
        <v>901</v>
      </c>
      <c r="H452" s="6">
        <v>0</v>
      </c>
      <c r="I452" s="6" t="s">
        <v>97</v>
      </c>
    </row>
    <row r="453" spans="2:9" hidden="1" x14ac:dyDescent="0.25">
      <c r="B453" s="4" t="s">
        <v>353</v>
      </c>
      <c r="C453" s="4" t="s">
        <v>777</v>
      </c>
      <c r="D453" s="4" t="s">
        <v>9</v>
      </c>
      <c r="E453" s="4" t="s">
        <v>923</v>
      </c>
      <c r="F453" s="4">
        <v>2013</v>
      </c>
      <c r="G453" s="4" t="s">
        <v>901</v>
      </c>
      <c r="H453" s="6">
        <v>0</v>
      </c>
      <c r="I453" s="6" t="s">
        <v>97</v>
      </c>
    </row>
    <row r="454" spans="2:9" hidden="1" x14ac:dyDescent="0.25">
      <c r="B454" s="4" t="s">
        <v>354</v>
      </c>
      <c r="C454" s="4" t="s">
        <v>778</v>
      </c>
      <c r="D454" s="4" t="s">
        <v>9</v>
      </c>
      <c r="E454" s="4" t="s">
        <v>923</v>
      </c>
      <c r="F454" s="4">
        <v>2013</v>
      </c>
      <c r="G454" s="4" t="s">
        <v>901</v>
      </c>
      <c r="H454" s="6">
        <v>0</v>
      </c>
      <c r="I454" s="6" t="s">
        <v>97</v>
      </c>
    </row>
    <row r="455" spans="2:9" hidden="1" x14ac:dyDescent="0.25">
      <c r="B455" s="4" t="s">
        <v>355</v>
      </c>
      <c r="C455" s="4" t="s">
        <v>768</v>
      </c>
      <c r="D455" s="4" t="s">
        <v>9</v>
      </c>
      <c r="E455" s="4" t="s">
        <v>923</v>
      </c>
      <c r="F455" s="4">
        <v>2013</v>
      </c>
      <c r="G455" s="4" t="s">
        <v>901</v>
      </c>
      <c r="H455" s="6">
        <v>0</v>
      </c>
      <c r="I455" s="6" t="s">
        <v>97</v>
      </c>
    </row>
    <row r="456" spans="2:9" hidden="1" x14ac:dyDescent="0.25">
      <c r="B456" s="4" t="s">
        <v>356</v>
      </c>
      <c r="C456" s="4" t="s">
        <v>769</v>
      </c>
      <c r="D456" s="4" t="s">
        <v>9</v>
      </c>
      <c r="E456" s="4" t="s">
        <v>923</v>
      </c>
      <c r="F456" s="4">
        <v>2013</v>
      </c>
      <c r="G456" s="4" t="s">
        <v>901</v>
      </c>
      <c r="H456" s="6">
        <v>0</v>
      </c>
      <c r="I456" s="6" t="s">
        <v>97</v>
      </c>
    </row>
    <row r="457" spans="2:9" hidden="1" x14ac:dyDescent="0.25">
      <c r="B457" s="4" t="s">
        <v>357</v>
      </c>
      <c r="C457" s="4" t="s">
        <v>785</v>
      </c>
      <c r="D457" s="4" t="s">
        <v>9</v>
      </c>
      <c r="E457" s="4" t="s">
        <v>923</v>
      </c>
      <c r="F457" s="4">
        <v>2013</v>
      </c>
      <c r="G457" s="4" t="s">
        <v>901</v>
      </c>
      <c r="H457" s="6">
        <v>0</v>
      </c>
      <c r="I457" s="6" t="s">
        <v>97</v>
      </c>
    </row>
    <row r="458" spans="2:9" hidden="1" x14ac:dyDescent="0.25">
      <c r="B458" s="4" t="s">
        <v>358</v>
      </c>
      <c r="C458" s="4" t="s">
        <v>781</v>
      </c>
      <c r="D458" s="4" t="s">
        <v>9</v>
      </c>
      <c r="E458" s="4" t="s">
        <v>923</v>
      </c>
      <c r="F458" s="4">
        <v>2013</v>
      </c>
      <c r="G458" s="4" t="s">
        <v>901</v>
      </c>
      <c r="H458" s="6">
        <v>0</v>
      </c>
      <c r="I458" s="6" t="s">
        <v>97</v>
      </c>
    </row>
    <row r="459" spans="2:9" hidden="1" x14ac:dyDescent="0.25">
      <c r="B459" s="4" t="s">
        <v>359</v>
      </c>
      <c r="C459" s="4" t="s">
        <v>782</v>
      </c>
      <c r="D459" s="4" t="s">
        <v>9</v>
      </c>
      <c r="E459" s="4" t="s">
        <v>923</v>
      </c>
      <c r="F459" s="4">
        <v>2013</v>
      </c>
      <c r="G459" s="4" t="s">
        <v>901</v>
      </c>
      <c r="H459" s="6">
        <v>0</v>
      </c>
      <c r="I459" s="6" t="s">
        <v>97</v>
      </c>
    </row>
    <row r="460" spans="2:9" hidden="1" x14ac:dyDescent="0.25">
      <c r="B460" s="4" t="s">
        <v>360</v>
      </c>
      <c r="C460" s="4" t="s">
        <v>783</v>
      </c>
      <c r="D460" s="4" t="s">
        <v>9</v>
      </c>
      <c r="E460" s="4" t="s">
        <v>923</v>
      </c>
      <c r="F460" s="4">
        <v>2013</v>
      </c>
      <c r="G460" s="4" t="s">
        <v>901</v>
      </c>
      <c r="H460" s="6">
        <v>0</v>
      </c>
      <c r="I460" s="6" t="s">
        <v>97</v>
      </c>
    </row>
    <row r="461" spans="2:9" hidden="1" x14ac:dyDescent="0.25">
      <c r="B461" s="4" t="s">
        <v>361</v>
      </c>
      <c r="C461" s="4" t="s">
        <v>784</v>
      </c>
      <c r="D461" s="4" t="s">
        <v>9</v>
      </c>
      <c r="E461" s="4" t="s">
        <v>923</v>
      </c>
      <c r="F461" s="4">
        <v>2013</v>
      </c>
      <c r="G461" s="4" t="s">
        <v>901</v>
      </c>
      <c r="H461" s="6">
        <v>0</v>
      </c>
      <c r="I461" s="6" t="s">
        <v>97</v>
      </c>
    </row>
    <row r="462" spans="2:9" hidden="1" x14ac:dyDescent="0.25">
      <c r="B462" s="4" t="s">
        <v>362</v>
      </c>
      <c r="C462" s="4" t="s">
        <v>779</v>
      </c>
      <c r="D462" s="4" t="s">
        <v>9</v>
      </c>
      <c r="E462" s="4" t="s">
        <v>923</v>
      </c>
      <c r="F462" s="4">
        <v>2013</v>
      </c>
      <c r="G462" s="4" t="s">
        <v>901</v>
      </c>
      <c r="H462" s="6">
        <v>0</v>
      </c>
      <c r="I462" s="6" t="s">
        <v>97</v>
      </c>
    </row>
    <row r="463" spans="2:9" hidden="1" x14ac:dyDescent="0.25">
      <c r="B463" s="4" t="s">
        <v>363</v>
      </c>
      <c r="C463" s="4" t="s">
        <v>780</v>
      </c>
      <c r="D463" s="4" t="s">
        <v>9</v>
      </c>
      <c r="E463" s="4" t="s">
        <v>923</v>
      </c>
      <c r="F463" s="4">
        <v>2013</v>
      </c>
      <c r="G463" s="4" t="s">
        <v>901</v>
      </c>
      <c r="H463" s="6">
        <v>0</v>
      </c>
      <c r="I463" s="6" t="s">
        <v>97</v>
      </c>
    </row>
    <row r="464" spans="2:9" hidden="1" x14ac:dyDescent="0.25">
      <c r="B464" s="4" t="s">
        <v>364</v>
      </c>
      <c r="C464" s="4" t="s">
        <v>767</v>
      </c>
      <c r="D464" s="4" t="s">
        <v>9</v>
      </c>
      <c r="E464" s="4" t="s">
        <v>923</v>
      </c>
      <c r="F464" s="4">
        <v>2013</v>
      </c>
      <c r="G464" s="4" t="s">
        <v>901</v>
      </c>
      <c r="H464" s="6">
        <v>0</v>
      </c>
      <c r="I464" s="6" t="s">
        <v>97</v>
      </c>
    </row>
    <row r="465" spans="2:9" hidden="1" x14ac:dyDescent="0.25">
      <c r="B465" s="4" t="s">
        <v>365</v>
      </c>
      <c r="C465" s="4" t="s">
        <v>763</v>
      </c>
      <c r="D465" s="4" t="s">
        <v>9</v>
      </c>
      <c r="E465" s="4" t="s">
        <v>923</v>
      </c>
      <c r="F465" s="4">
        <v>2013</v>
      </c>
      <c r="G465" s="4" t="s">
        <v>901</v>
      </c>
      <c r="H465" s="6">
        <v>0</v>
      </c>
      <c r="I465" s="6" t="s">
        <v>97</v>
      </c>
    </row>
    <row r="466" spans="2:9" hidden="1" x14ac:dyDescent="0.25">
      <c r="B466" s="4" t="s">
        <v>366</v>
      </c>
      <c r="C466" s="4" t="s">
        <v>764</v>
      </c>
      <c r="D466" s="4" t="s">
        <v>9</v>
      </c>
      <c r="E466" s="4" t="s">
        <v>923</v>
      </c>
      <c r="F466" s="4">
        <v>2013</v>
      </c>
      <c r="G466" s="4" t="s">
        <v>901</v>
      </c>
      <c r="H466" s="6">
        <v>0</v>
      </c>
      <c r="I466" s="6" t="s">
        <v>97</v>
      </c>
    </row>
    <row r="467" spans="2:9" hidden="1" x14ac:dyDescent="0.25">
      <c r="B467" s="4" t="s">
        <v>367</v>
      </c>
      <c r="C467" s="4" t="s">
        <v>765</v>
      </c>
      <c r="D467" s="4" t="s">
        <v>9</v>
      </c>
      <c r="E467" s="4" t="s">
        <v>923</v>
      </c>
      <c r="F467" s="4">
        <v>2013</v>
      </c>
      <c r="G467" s="4" t="s">
        <v>901</v>
      </c>
      <c r="H467" s="6">
        <v>0</v>
      </c>
      <c r="I467" s="6" t="s">
        <v>97</v>
      </c>
    </row>
    <row r="468" spans="2:9" hidden="1" x14ac:dyDescent="0.25">
      <c r="B468" s="4" t="s">
        <v>368</v>
      </c>
      <c r="C468" s="4" t="s">
        <v>766</v>
      </c>
      <c r="D468" s="4" t="s">
        <v>9</v>
      </c>
      <c r="E468" s="4" t="s">
        <v>923</v>
      </c>
      <c r="F468" s="4">
        <v>2013</v>
      </c>
      <c r="G468" s="4" t="s">
        <v>901</v>
      </c>
      <c r="H468" s="6">
        <v>0</v>
      </c>
      <c r="I468" s="6" t="s">
        <v>97</v>
      </c>
    </row>
    <row r="469" spans="2:9" hidden="1" x14ac:dyDescent="0.25">
      <c r="B469" s="4" t="s">
        <v>369</v>
      </c>
      <c r="C469" s="4" t="s">
        <v>761</v>
      </c>
      <c r="D469" s="4" t="s">
        <v>9</v>
      </c>
      <c r="E469" s="4" t="s">
        <v>923</v>
      </c>
      <c r="F469" s="4">
        <v>2013</v>
      </c>
      <c r="G469" s="4" t="s">
        <v>901</v>
      </c>
      <c r="H469" s="6">
        <v>0</v>
      </c>
      <c r="I469" s="6" t="s">
        <v>97</v>
      </c>
    </row>
    <row r="470" spans="2:9" hidden="1" x14ac:dyDescent="0.25">
      <c r="B470" s="4" t="s">
        <v>370</v>
      </c>
      <c r="C470" s="4" t="s">
        <v>762</v>
      </c>
      <c r="D470" s="4" t="s">
        <v>9</v>
      </c>
      <c r="E470" s="4" t="s">
        <v>923</v>
      </c>
      <c r="F470" s="4">
        <v>2013</v>
      </c>
      <c r="G470" s="4" t="s">
        <v>901</v>
      </c>
      <c r="H470" s="6">
        <v>0</v>
      </c>
      <c r="I470" s="6" t="s">
        <v>97</v>
      </c>
    </row>
    <row r="471" spans="2:9" hidden="1" x14ac:dyDescent="0.25">
      <c r="B471" s="4" t="s">
        <v>371</v>
      </c>
      <c r="C471" s="4" t="s">
        <v>759</v>
      </c>
      <c r="D471" s="4" t="s">
        <v>9</v>
      </c>
      <c r="E471" s="4" t="s">
        <v>923</v>
      </c>
      <c r="F471" s="4">
        <v>2013</v>
      </c>
      <c r="G471" s="4" t="s">
        <v>901</v>
      </c>
      <c r="H471" s="6">
        <v>0</v>
      </c>
      <c r="I471" s="6" t="s">
        <v>97</v>
      </c>
    </row>
    <row r="472" spans="2:9" hidden="1" x14ac:dyDescent="0.25">
      <c r="B472" s="4" t="s">
        <v>372</v>
      </c>
      <c r="C472" s="4" t="s">
        <v>755</v>
      </c>
      <c r="D472" s="4" t="s">
        <v>9</v>
      </c>
      <c r="E472" s="4" t="s">
        <v>923</v>
      </c>
      <c r="F472" s="4">
        <v>2013</v>
      </c>
      <c r="G472" s="4" t="s">
        <v>901</v>
      </c>
      <c r="H472" s="6">
        <v>0</v>
      </c>
      <c r="I472" s="6" t="s">
        <v>97</v>
      </c>
    </row>
    <row r="473" spans="2:9" hidden="1" x14ac:dyDescent="0.25">
      <c r="B473" s="4" t="s">
        <v>373</v>
      </c>
      <c r="C473" s="4" t="s">
        <v>756</v>
      </c>
      <c r="D473" s="4" t="s">
        <v>9</v>
      </c>
      <c r="E473" s="4" t="s">
        <v>923</v>
      </c>
      <c r="F473" s="4">
        <v>2013</v>
      </c>
      <c r="G473" s="4" t="s">
        <v>901</v>
      </c>
      <c r="H473" s="6">
        <v>0</v>
      </c>
      <c r="I473" s="6" t="s">
        <v>97</v>
      </c>
    </row>
    <row r="474" spans="2:9" hidden="1" x14ac:dyDescent="0.25">
      <c r="B474" s="4" t="s">
        <v>374</v>
      </c>
      <c r="C474" s="4" t="s">
        <v>757</v>
      </c>
      <c r="D474" s="4" t="s">
        <v>9</v>
      </c>
      <c r="E474" s="4" t="s">
        <v>923</v>
      </c>
      <c r="F474" s="4">
        <v>2013</v>
      </c>
      <c r="G474" s="4" t="s">
        <v>901</v>
      </c>
      <c r="H474" s="6">
        <v>0</v>
      </c>
      <c r="I474" s="6" t="s">
        <v>97</v>
      </c>
    </row>
    <row r="475" spans="2:9" hidden="1" x14ac:dyDescent="0.25">
      <c r="B475" s="4" t="s">
        <v>375</v>
      </c>
      <c r="C475" s="4" t="s">
        <v>758</v>
      </c>
      <c r="D475" s="4" t="s">
        <v>9</v>
      </c>
      <c r="E475" s="4" t="s">
        <v>923</v>
      </c>
      <c r="F475" s="4">
        <v>2013</v>
      </c>
      <c r="G475" s="4" t="s">
        <v>901</v>
      </c>
      <c r="H475" s="6">
        <v>0</v>
      </c>
      <c r="I475" s="6" t="s">
        <v>97</v>
      </c>
    </row>
    <row r="476" spans="2:9" hidden="1" x14ac:dyDescent="0.25">
      <c r="B476" s="4" t="s">
        <v>376</v>
      </c>
      <c r="C476" s="4" t="s">
        <v>753</v>
      </c>
      <c r="D476" s="4" t="s">
        <v>9</v>
      </c>
      <c r="E476" s="4" t="s">
        <v>923</v>
      </c>
      <c r="F476" s="4">
        <v>2013</v>
      </c>
      <c r="G476" s="4" t="s">
        <v>901</v>
      </c>
      <c r="H476" s="6">
        <v>0</v>
      </c>
      <c r="I476" s="6" t="s">
        <v>97</v>
      </c>
    </row>
    <row r="477" spans="2:9" hidden="1" x14ac:dyDescent="0.25">
      <c r="B477" s="4" t="s">
        <v>377</v>
      </c>
      <c r="C477" s="4" t="s">
        <v>754</v>
      </c>
      <c r="D477" s="4" t="s">
        <v>9</v>
      </c>
      <c r="E477" s="4" t="s">
        <v>923</v>
      </c>
      <c r="F477" s="4">
        <v>2013</v>
      </c>
      <c r="G477" s="4" t="s">
        <v>901</v>
      </c>
      <c r="H477" s="6">
        <v>0</v>
      </c>
      <c r="I477" s="6" t="s">
        <v>97</v>
      </c>
    </row>
    <row r="478" spans="2:9" hidden="1" x14ac:dyDescent="0.25">
      <c r="B478" s="4" t="s">
        <v>379</v>
      </c>
      <c r="C478" s="4" t="s">
        <v>680</v>
      </c>
      <c r="D478" s="4" t="s">
        <v>9</v>
      </c>
      <c r="E478" s="4" t="s">
        <v>923</v>
      </c>
      <c r="F478" s="4">
        <v>2013</v>
      </c>
      <c r="G478" s="4" t="s">
        <v>901</v>
      </c>
      <c r="H478" s="6">
        <v>0</v>
      </c>
      <c r="I478" s="6" t="s">
        <v>97</v>
      </c>
    </row>
    <row r="479" spans="2:9" hidden="1" x14ac:dyDescent="0.25">
      <c r="B479" s="4" t="s">
        <v>380</v>
      </c>
      <c r="C479" s="4" t="s">
        <v>681</v>
      </c>
      <c r="D479" s="4" t="s">
        <v>9</v>
      </c>
      <c r="E479" s="4" t="s">
        <v>923</v>
      </c>
      <c r="F479" s="4">
        <v>2013</v>
      </c>
      <c r="G479" s="4" t="s">
        <v>901</v>
      </c>
      <c r="H479" s="6">
        <v>0</v>
      </c>
      <c r="I479" s="6" t="s">
        <v>97</v>
      </c>
    </row>
    <row r="480" spans="2:9" hidden="1" x14ac:dyDescent="0.25">
      <c r="B480" s="4" t="s">
        <v>381</v>
      </c>
      <c r="C480" s="4" t="s">
        <v>682</v>
      </c>
      <c r="D480" s="4" t="s">
        <v>9</v>
      </c>
      <c r="E480" s="4" t="s">
        <v>923</v>
      </c>
      <c r="F480" s="4">
        <v>2013</v>
      </c>
      <c r="G480" s="4" t="s">
        <v>901</v>
      </c>
      <c r="H480" s="6">
        <v>0</v>
      </c>
      <c r="I480" s="6" t="s">
        <v>97</v>
      </c>
    </row>
    <row r="481" spans="2:9" hidden="1" x14ac:dyDescent="0.25">
      <c r="B481" s="4" t="s">
        <v>382</v>
      </c>
      <c r="C481" s="4" t="s">
        <v>683</v>
      </c>
      <c r="D481" s="4" t="s">
        <v>9</v>
      </c>
      <c r="E481" s="4" t="s">
        <v>923</v>
      </c>
      <c r="F481" s="4">
        <v>2013</v>
      </c>
      <c r="G481" s="4" t="s">
        <v>901</v>
      </c>
      <c r="H481" s="6">
        <v>0</v>
      </c>
      <c r="I481" s="6" t="s">
        <v>97</v>
      </c>
    </row>
    <row r="482" spans="2:9" hidden="1" x14ac:dyDescent="0.25">
      <c r="B482" s="4" t="s">
        <v>383</v>
      </c>
      <c r="C482" s="4" t="s">
        <v>704</v>
      </c>
      <c r="D482" s="4" t="s">
        <v>9</v>
      </c>
      <c r="E482" s="4" t="s">
        <v>923</v>
      </c>
      <c r="F482" s="4">
        <v>2013</v>
      </c>
      <c r="G482" s="4" t="s">
        <v>901</v>
      </c>
      <c r="H482" s="6">
        <v>0</v>
      </c>
      <c r="I482" s="6" t="s">
        <v>97</v>
      </c>
    </row>
    <row r="483" spans="2:9" hidden="1" x14ac:dyDescent="0.25">
      <c r="B483" s="4" t="s">
        <v>384</v>
      </c>
      <c r="C483" s="4" t="s">
        <v>705</v>
      </c>
      <c r="D483" s="4" t="s">
        <v>9</v>
      </c>
      <c r="E483" s="4" t="s">
        <v>923</v>
      </c>
      <c r="F483" s="4">
        <v>2013</v>
      </c>
      <c r="G483" s="4" t="s">
        <v>901</v>
      </c>
      <c r="H483" s="6">
        <v>0</v>
      </c>
      <c r="I483" s="6" t="s">
        <v>97</v>
      </c>
    </row>
    <row r="484" spans="2:9" hidden="1" x14ac:dyDescent="0.25">
      <c r="B484" s="4" t="s">
        <v>385</v>
      </c>
      <c r="C484" s="4" t="s">
        <v>706</v>
      </c>
      <c r="D484" s="4" t="s">
        <v>9</v>
      </c>
      <c r="E484" s="4" t="s">
        <v>923</v>
      </c>
      <c r="F484" s="4">
        <v>2013</v>
      </c>
      <c r="G484" s="4" t="s">
        <v>901</v>
      </c>
      <c r="H484" s="6">
        <v>0</v>
      </c>
      <c r="I484" s="6" t="s">
        <v>97</v>
      </c>
    </row>
    <row r="485" spans="2:9" hidden="1" x14ac:dyDescent="0.25">
      <c r="B485" s="4" t="s">
        <v>386</v>
      </c>
      <c r="C485" s="4" t="s">
        <v>707</v>
      </c>
      <c r="D485" s="4" t="s">
        <v>9</v>
      </c>
      <c r="E485" s="4" t="s">
        <v>923</v>
      </c>
      <c r="F485" s="4">
        <v>2013</v>
      </c>
      <c r="G485" s="4" t="s">
        <v>901</v>
      </c>
      <c r="H485" s="6">
        <v>0</v>
      </c>
      <c r="I485" s="6" t="s">
        <v>97</v>
      </c>
    </row>
    <row r="486" spans="2:9" hidden="1" x14ac:dyDescent="0.25">
      <c r="B486" s="4" t="s">
        <v>387</v>
      </c>
      <c r="C486" s="4" t="s">
        <v>687</v>
      </c>
      <c r="D486" s="4" t="s">
        <v>9</v>
      </c>
      <c r="E486" s="4" t="s">
        <v>923</v>
      </c>
      <c r="F486" s="4">
        <v>2013</v>
      </c>
      <c r="G486" s="4" t="s">
        <v>901</v>
      </c>
      <c r="H486" s="6">
        <v>0</v>
      </c>
      <c r="I486" s="6" t="s">
        <v>97</v>
      </c>
    </row>
    <row r="487" spans="2:9" hidden="1" x14ac:dyDescent="0.25">
      <c r="B487" s="4" t="s">
        <v>388</v>
      </c>
      <c r="C487" s="4" t="s">
        <v>688</v>
      </c>
      <c r="D487" s="4" t="s">
        <v>9</v>
      </c>
      <c r="E487" s="4" t="s">
        <v>923</v>
      </c>
      <c r="F487" s="4">
        <v>2013</v>
      </c>
      <c r="G487" s="4" t="s">
        <v>901</v>
      </c>
      <c r="H487" s="6">
        <v>0</v>
      </c>
      <c r="I487" s="6" t="s">
        <v>97</v>
      </c>
    </row>
    <row r="488" spans="2:9" hidden="1" x14ac:dyDescent="0.25">
      <c r="B488" s="4" t="s">
        <v>389</v>
      </c>
      <c r="C488" s="4" t="s">
        <v>689</v>
      </c>
      <c r="D488" s="4" t="s">
        <v>9</v>
      </c>
      <c r="E488" s="4" t="s">
        <v>923</v>
      </c>
      <c r="F488" s="4">
        <v>2013</v>
      </c>
      <c r="G488" s="4" t="s">
        <v>901</v>
      </c>
      <c r="H488" s="6">
        <v>0</v>
      </c>
      <c r="I488" s="6" t="s">
        <v>97</v>
      </c>
    </row>
    <row r="489" spans="2:9" hidden="1" x14ac:dyDescent="0.25">
      <c r="B489" s="4" t="s">
        <v>390</v>
      </c>
      <c r="C489" s="4" t="s">
        <v>690</v>
      </c>
      <c r="D489" s="4" t="s">
        <v>9</v>
      </c>
      <c r="E489" s="4" t="s">
        <v>923</v>
      </c>
      <c r="F489" s="4">
        <v>2013</v>
      </c>
      <c r="G489" s="4" t="s">
        <v>901</v>
      </c>
      <c r="H489" s="6">
        <v>0</v>
      </c>
      <c r="I489" s="6" t="s">
        <v>97</v>
      </c>
    </row>
    <row r="490" spans="2:9" hidden="1" x14ac:dyDescent="0.25">
      <c r="B490" s="4" t="s">
        <v>948</v>
      </c>
      <c r="C490" s="4" t="s">
        <v>803</v>
      </c>
      <c r="D490" s="4" t="s">
        <v>9</v>
      </c>
      <c r="E490" s="4" t="s">
        <v>923</v>
      </c>
      <c r="F490" s="4">
        <v>2013</v>
      </c>
      <c r="G490" s="4" t="s">
        <v>901</v>
      </c>
      <c r="H490" s="6">
        <v>0</v>
      </c>
      <c r="I490" s="6" t="s">
        <v>97</v>
      </c>
    </row>
    <row r="491" spans="2:9" hidden="1" x14ac:dyDescent="0.25">
      <c r="B491" s="4" t="s">
        <v>391</v>
      </c>
      <c r="C491" s="4" t="s">
        <v>798</v>
      </c>
      <c r="D491" s="4" t="s">
        <v>9</v>
      </c>
      <c r="E491" s="4" t="s">
        <v>923</v>
      </c>
      <c r="F491" s="4">
        <v>2013</v>
      </c>
      <c r="G491" s="4" t="s">
        <v>901</v>
      </c>
      <c r="H491" s="6">
        <v>0</v>
      </c>
      <c r="I491" s="6" t="s">
        <v>97</v>
      </c>
    </row>
    <row r="492" spans="2:9" hidden="1" x14ac:dyDescent="0.25">
      <c r="B492" s="4" t="s">
        <v>949</v>
      </c>
      <c r="C492" s="4" t="s">
        <v>799</v>
      </c>
      <c r="D492" s="4" t="s">
        <v>9</v>
      </c>
      <c r="E492" s="4" t="s">
        <v>923</v>
      </c>
      <c r="F492" s="4">
        <v>2013</v>
      </c>
      <c r="G492" s="4" t="s">
        <v>901</v>
      </c>
      <c r="H492" s="6">
        <v>0</v>
      </c>
      <c r="I492" s="6" t="s">
        <v>97</v>
      </c>
    </row>
    <row r="493" spans="2:9" hidden="1" x14ac:dyDescent="0.25">
      <c r="B493" s="4" t="s">
        <v>392</v>
      </c>
      <c r="C493" s="4" t="s">
        <v>796</v>
      </c>
      <c r="D493" s="4" t="s">
        <v>9</v>
      </c>
      <c r="E493" s="4" t="s">
        <v>923</v>
      </c>
      <c r="F493" s="4">
        <v>2013</v>
      </c>
      <c r="G493" s="4" t="s">
        <v>901</v>
      </c>
      <c r="H493" s="6">
        <v>0</v>
      </c>
      <c r="I493" s="6" t="s">
        <v>97</v>
      </c>
    </row>
    <row r="494" spans="2:9" hidden="1" x14ac:dyDescent="0.25">
      <c r="B494" s="4" t="s">
        <v>393</v>
      </c>
      <c r="C494" s="4" t="s">
        <v>691</v>
      </c>
      <c r="D494" s="4" t="s">
        <v>9</v>
      </c>
      <c r="E494" s="4" t="s">
        <v>923</v>
      </c>
      <c r="F494" s="4">
        <v>2013</v>
      </c>
      <c r="G494" s="4" t="s">
        <v>901</v>
      </c>
      <c r="H494" s="6">
        <v>0</v>
      </c>
      <c r="I494" s="6" t="s">
        <v>97</v>
      </c>
    </row>
    <row r="495" spans="2:9" hidden="1" x14ac:dyDescent="0.25">
      <c r="B495" s="4" t="s">
        <v>394</v>
      </c>
      <c r="C495" s="4" t="s">
        <v>695</v>
      </c>
      <c r="D495" s="4" t="s">
        <v>9</v>
      </c>
      <c r="E495" s="4" t="s">
        <v>923</v>
      </c>
      <c r="F495" s="4">
        <v>2013</v>
      </c>
      <c r="G495" s="4" t="s">
        <v>901</v>
      </c>
      <c r="H495" s="6">
        <v>0</v>
      </c>
      <c r="I495" s="6" t="s">
        <v>97</v>
      </c>
    </row>
    <row r="496" spans="2:9" hidden="1" x14ac:dyDescent="0.25">
      <c r="B496" s="4" t="s">
        <v>395</v>
      </c>
      <c r="C496" s="4" t="s">
        <v>693</v>
      </c>
      <c r="D496" s="4" t="s">
        <v>9</v>
      </c>
      <c r="E496" s="4" t="s">
        <v>923</v>
      </c>
      <c r="F496" s="4">
        <v>2013</v>
      </c>
      <c r="G496" s="4" t="s">
        <v>901</v>
      </c>
      <c r="H496" s="6">
        <v>0</v>
      </c>
      <c r="I496" s="6" t="s">
        <v>97</v>
      </c>
    </row>
    <row r="497" spans="2:9" hidden="1" x14ac:dyDescent="0.25">
      <c r="B497" s="4" t="s">
        <v>396</v>
      </c>
      <c r="C497" s="4" t="s">
        <v>694</v>
      </c>
      <c r="D497" s="4" t="s">
        <v>9</v>
      </c>
      <c r="E497" s="4" t="s">
        <v>923</v>
      </c>
      <c r="F497" s="4">
        <v>2013</v>
      </c>
      <c r="G497" s="4" t="s">
        <v>901</v>
      </c>
      <c r="H497" s="6">
        <v>0</v>
      </c>
      <c r="I497" s="6" t="s">
        <v>97</v>
      </c>
    </row>
    <row r="498" spans="2:9" hidden="1" x14ac:dyDescent="0.25">
      <c r="B498" s="4" t="s">
        <v>397</v>
      </c>
      <c r="C498" s="4" t="s">
        <v>692</v>
      </c>
      <c r="D498" s="4" t="s">
        <v>9</v>
      </c>
      <c r="E498" s="4" t="s">
        <v>923</v>
      </c>
      <c r="F498" s="4">
        <v>2013</v>
      </c>
      <c r="G498" s="4" t="s">
        <v>901</v>
      </c>
      <c r="H498" s="6">
        <v>0</v>
      </c>
      <c r="I498" s="6" t="s">
        <v>97</v>
      </c>
    </row>
    <row r="499" spans="2:9" hidden="1" x14ac:dyDescent="0.25">
      <c r="B499" s="4" t="s">
        <v>398</v>
      </c>
      <c r="C499" s="4" t="s">
        <v>596</v>
      </c>
      <c r="D499" s="4" t="s">
        <v>9</v>
      </c>
      <c r="E499" s="4" t="s">
        <v>923</v>
      </c>
      <c r="F499" s="4">
        <v>2013</v>
      </c>
      <c r="G499" s="4" t="s">
        <v>901</v>
      </c>
      <c r="H499" s="6">
        <v>0</v>
      </c>
      <c r="I499" s="6" t="s">
        <v>97</v>
      </c>
    </row>
    <row r="500" spans="2:9" hidden="1" x14ac:dyDescent="0.25">
      <c r="B500" s="4" t="s">
        <v>399</v>
      </c>
      <c r="C500" s="4" t="s">
        <v>600</v>
      </c>
      <c r="D500" s="4" t="s">
        <v>9</v>
      </c>
      <c r="E500" s="4" t="s">
        <v>923</v>
      </c>
      <c r="F500" s="4">
        <v>2013</v>
      </c>
      <c r="G500" s="4" t="s">
        <v>901</v>
      </c>
      <c r="H500" s="6">
        <v>0</v>
      </c>
      <c r="I500" s="6" t="s">
        <v>97</v>
      </c>
    </row>
    <row r="501" spans="2:9" hidden="1" x14ac:dyDescent="0.25">
      <c r="B501" s="4" t="s">
        <v>400</v>
      </c>
      <c r="C501" s="4" t="s">
        <v>598</v>
      </c>
      <c r="D501" s="4" t="s">
        <v>9</v>
      </c>
      <c r="E501" s="4" t="s">
        <v>923</v>
      </c>
      <c r="F501" s="4">
        <v>2013</v>
      </c>
      <c r="G501" s="4" t="s">
        <v>901</v>
      </c>
      <c r="H501" s="6">
        <v>0</v>
      </c>
      <c r="I501" s="6" t="s">
        <v>97</v>
      </c>
    </row>
    <row r="502" spans="2:9" hidden="1" x14ac:dyDescent="0.25">
      <c r="B502" s="4" t="s">
        <v>401</v>
      </c>
      <c r="C502" s="4" t="s">
        <v>599</v>
      </c>
      <c r="D502" s="4" t="s">
        <v>9</v>
      </c>
      <c r="E502" s="4" t="s">
        <v>923</v>
      </c>
      <c r="F502" s="4">
        <v>2013</v>
      </c>
      <c r="G502" s="4" t="s">
        <v>901</v>
      </c>
      <c r="H502" s="6">
        <v>0</v>
      </c>
      <c r="I502" s="6" t="s">
        <v>97</v>
      </c>
    </row>
    <row r="503" spans="2:9" hidden="1" x14ac:dyDescent="0.25">
      <c r="B503" s="4" t="s">
        <v>402</v>
      </c>
      <c r="C503" s="4" t="s">
        <v>597</v>
      </c>
      <c r="D503" s="4" t="s">
        <v>9</v>
      </c>
      <c r="E503" s="4" t="s">
        <v>923</v>
      </c>
      <c r="F503" s="4">
        <v>2013</v>
      </c>
      <c r="G503" s="4" t="s">
        <v>901</v>
      </c>
      <c r="H503" s="6">
        <v>0</v>
      </c>
      <c r="I503" s="6" t="s">
        <v>97</v>
      </c>
    </row>
    <row r="504" spans="2:9" hidden="1" x14ac:dyDescent="0.25">
      <c r="B504" s="4" t="s">
        <v>403</v>
      </c>
      <c r="C504" s="4" t="s">
        <v>804</v>
      </c>
      <c r="D504" s="4" t="s">
        <v>9</v>
      </c>
      <c r="E504" s="4" t="s">
        <v>923</v>
      </c>
      <c r="F504" s="4">
        <v>2013</v>
      </c>
      <c r="G504" s="4" t="s">
        <v>901</v>
      </c>
      <c r="H504" s="6">
        <v>0</v>
      </c>
      <c r="I504" s="6" t="s">
        <v>97</v>
      </c>
    </row>
    <row r="505" spans="2:9" hidden="1" x14ac:dyDescent="0.25">
      <c r="B505" s="4" t="s">
        <v>404</v>
      </c>
      <c r="C505" s="4" t="s">
        <v>788</v>
      </c>
      <c r="D505" s="4" t="s">
        <v>9</v>
      </c>
      <c r="E505" s="4" t="s">
        <v>923</v>
      </c>
      <c r="F505" s="4">
        <v>2013</v>
      </c>
      <c r="G505" s="4" t="s">
        <v>901</v>
      </c>
      <c r="H505" s="6">
        <v>0</v>
      </c>
      <c r="I505" s="6" t="s">
        <v>97</v>
      </c>
    </row>
    <row r="506" spans="2:9" hidden="1" x14ac:dyDescent="0.25">
      <c r="B506" s="4" t="s">
        <v>405</v>
      </c>
      <c r="C506" s="4" t="s">
        <v>789</v>
      </c>
      <c r="D506" s="4" t="s">
        <v>9</v>
      </c>
      <c r="E506" s="4" t="s">
        <v>923</v>
      </c>
      <c r="F506" s="4">
        <v>2013</v>
      </c>
      <c r="G506" s="4" t="s">
        <v>901</v>
      </c>
      <c r="H506" s="6">
        <v>0</v>
      </c>
      <c r="I506" s="6" t="s">
        <v>97</v>
      </c>
    </row>
    <row r="507" spans="2:9" hidden="1" x14ac:dyDescent="0.25">
      <c r="B507" s="4" t="s">
        <v>406</v>
      </c>
      <c r="C507" s="4" t="s">
        <v>791</v>
      </c>
      <c r="D507" s="4" t="s">
        <v>9</v>
      </c>
      <c r="E507" s="4" t="s">
        <v>923</v>
      </c>
      <c r="F507" s="4">
        <v>2013</v>
      </c>
      <c r="G507" s="4" t="s">
        <v>901</v>
      </c>
      <c r="H507" s="6">
        <v>0</v>
      </c>
      <c r="I507" s="6" t="s">
        <v>97</v>
      </c>
    </row>
    <row r="508" spans="2:9" hidden="1" x14ac:dyDescent="0.25">
      <c r="B508" s="4" t="s">
        <v>407</v>
      </c>
      <c r="C508" s="4" t="s">
        <v>794</v>
      </c>
      <c r="D508" s="4" t="s">
        <v>9</v>
      </c>
      <c r="E508" s="4" t="s">
        <v>923</v>
      </c>
      <c r="F508" s="4">
        <v>2013</v>
      </c>
      <c r="G508" s="4" t="s">
        <v>901</v>
      </c>
      <c r="H508" s="6">
        <v>0</v>
      </c>
      <c r="I508" s="6" t="s">
        <v>97</v>
      </c>
    </row>
    <row r="509" spans="2:9" hidden="1" x14ac:dyDescent="0.25">
      <c r="B509" s="4" t="s">
        <v>408</v>
      </c>
      <c r="C509" s="4" t="s">
        <v>793</v>
      </c>
      <c r="D509" s="4" t="s">
        <v>9</v>
      </c>
      <c r="E509" s="4" t="s">
        <v>923</v>
      </c>
      <c r="F509" s="4">
        <v>2013</v>
      </c>
      <c r="G509" s="4" t="s">
        <v>901</v>
      </c>
      <c r="H509" s="6">
        <v>0</v>
      </c>
      <c r="I509" s="6" t="s">
        <v>97</v>
      </c>
    </row>
    <row r="510" spans="2:9" hidden="1" x14ac:dyDescent="0.25">
      <c r="B510" s="4" t="s">
        <v>409</v>
      </c>
      <c r="C510" s="4" t="s">
        <v>786</v>
      </c>
      <c r="D510" s="4" t="s">
        <v>9</v>
      </c>
      <c r="E510" s="4" t="s">
        <v>923</v>
      </c>
      <c r="F510" s="4">
        <v>2013</v>
      </c>
      <c r="G510" s="4" t="s">
        <v>901</v>
      </c>
      <c r="H510" s="6">
        <v>0</v>
      </c>
      <c r="I510" s="6" t="s">
        <v>97</v>
      </c>
    </row>
    <row r="511" spans="2:9" hidden="1" x14ac:dyDescent="0.25">
      <c r="B511" s="4" t="s">
        <v>410</v>
      </c>
      <c r="C511" s="4" t="s">
        <v>790</v>
      </c>
      <c r="D511" s="4" t="s">
        <v>9</v>
      </c>
      <c r="E511" s="4" t="s">
        <v>923</v>
      </c>
      <c r="F511" s="4">
        <v>2013</v>
      </c>
      <c r="G511" s="4" t="s">
        <v>901</v>
      </c>
      <c r="H511" s="6">
        <v>0</v>
      </c>
      <c r="I511" s="6" t="s">
        <v>97</v>
      </c>
    </row>
    <row r="512" spans="2:9" hidden="1" x14ac:dyDescent="0.25">
      <c r="B512" s="4" t="s">
        <v>411</v>
      </c>
      <c r="C512" s="4" t="s">
        <v>792</v>
      </c>
      <c r="D512" s="4" t="s">
        <v>9</v>
      </c>
      <c r="E512" s="4" t="s">
        <v>923</v>
      </c>
      <c r="F512" s="4">
        <v>2013</v>
      </c>
      <c r="G512" s="4" t="s">
        <v>901</v>
      </c>
      <c r="H512" s="6">
        <v>0</v>
      </c>
      <c r="I512" s="6" t="s">
        <v>97</v>
      </c>
    </row>
    <row r="513" spans="2:9" hidden="1" x14ac:dyDescent="0.25">
      <c r="B513" s="4" t="s">
        <v>412</v>
      </c>
      <c r="C513" s="4" t="s">
        <v>805</v>
      </c>
      <c r="D513" s="4" t="s">
        <v>9</v>
      </c>
      <c r="E513" s="4" t="s">
        <v>923</v>
      </c>
      <c r="F513" s="4">
        <v>2013</v>
      </c>
      <c r="G513" s="4" t="s">
        <v>901</v>
      </c>
      <c r="H513" s="6">
        <v>0</v>
      </c>
      <c r="I513" s="6" t="s">
        <v>97</v>
      </c>
    </row>
    <row r="514" spans="2:9" hidden="1" x14ac:dyDescent="0.25">
      <c r="B514" s="4" t="s">
        <v>413</v>
      </c>
      <c r="C514" s="4" t="s">
        <v>795</v>
      </c>
      <c r="D514" s="4" t="s">
        <v>9</v>
      </c>
      <c r="E514" s="4" t="s">
        <v>923</v>
      </c>
      <c r="F514" s="4">
        <v>2013</v>
      </c>
      <c r="G514" s="4" t="s">
        <v>901</v>
      </c>
      <c r="H514" s="6">
        <v>0</v>
      </c>
      <c r="I514" s="6" t="s">
        <v>97</v>
      </c>
    </row>
    <row r="515" spans="2:9" hidden="1" x14ac:dyDescent="0.25">
      <c r="B515" s="4" t="s">
        <v>414</v>
      </c>
      <c r="C515" s="4" t="s">
        <v>807</v>
      </c>
      <c r="D515" s="4" t="s">
        <v>9</v>
      </c>
      <c r="E515" s="4" t="s">
        <v>923</v>
      </c>
      <c r="F515" s="4">
        <v>2013</v>
      </c>
      <c r="G515" s="4" t="s">
        <v>901</v>
      </c>
      <c r="H515" s="6">
        <v>0</v>
      </c>
      <c r="I515" s="6" t="s">
        <v>97</v>
      </c>
    </row>
    <row r="516" spans="2:9" hidden="1" x14ac:dyDescent="0.25">
      <c r="B516" s="4" t="s">
        <v>415</v>
      </c>
      <c r="C516" s="4" t="s">
        <v>806</v>
      </c>
      <c r="D516" s="4" t="s">
        <v>9</v>
      </c>
      <c r="E516" s="4" t="s">
        <v>923</v>
      </c>
      <c r="F516" s="4">
        <v>2013</v>
      </c>
      <c r="G516" s="4" t="s">
        <v>901</v>
      </c>
      <c r="H516" s="6">
        <v>0</v>
      </c>
      <c r="I516" s="6" t="s">
        <v>97</v>
      </c>
    </row>
    <row r="517" spans="2:9" hidden="1" x14ac:dyDescent="0.25">
      <c r="B517" s="4" t="s">
        <v>416</v>
      </c>
      <c r="C517" s="4" t="s">
        <v>808</v>
      </c>
      <c r="D517" s="4" t="s">
        <v>9</v>
      </c>
      <c r="E517" s="4" t="s">
        <v>923</v>
      </c>
      <c r="F517" s="4">
        <v>2013</v>
      </c>
      <c r="G517" s="4" t="s">
        <v>901</v>
      </c>
      <c r="H517" s="6">
        <v>0</v>
      </c>
      <c r="I517" s="6" t="s">
        <v>97</v>
      </c>
    </row>
    <row r="518" spans="2:9" hidden="1" x14ac:dyDescent="0.25">
      <c r="B518" s="4" t="s">
        <v>417</v>
      </c>
      <c r="C518" s="4" t="s">
        <v>797</v>
      </c>
      <c r="D518" s="4" t="s">
        <v>9</v>
      </c>
      <c r="E518" s="4" t="s">
        <v>923</v>
      </c>
      <c r="F518" s="4">
        <v>2013</v>
      </c>
      <c r="G518" s="4" t="s">
        <v>901</v>
      </c>
      <c r="H518" s="6">
        <v>0</v>
      </c>
      <c r="I518" s="6" t="s">
        <v>97</v>
      </c>
    </row>
    <row r="519" spans="2:9" hidden="1" x14ac:dyDescent="0.25">
      <c r="B519" s="4" t="s">
        <v>418</v>
      </c>
      <c r="C519" s="4" t="s">
        <v>787</v>
      </c>
      <c r="D519" s="4" t="s">
        <v>9</v>
      </c>
      <c r="E519" s="4" t="s">
        <v>923</v>
      </c>
      <c r="F519" s="4">
        <v>2013</v>
      </c>
      <c r="G519" s="4" t="s">
        <v>901</v>
      </c>
      <c r="H519" s="6">
        <v>0</v>
      </c>
      <c r="I519" s="6" t="s">
        <v>97</v>
      </c>
    </row>
    <row r="520" spans="2:9" hidden="1" x14ac:dyDescent="0.25">
      <c r="B520" s="4" t="s">
        <v>419</v>
      </c>
      <c r="C520" s="4" t="s">
        <v>801</v>
      </c>
      <c r="D520" s="4" t="s">
        <v>9</v>
      </c>
      <c r="E520" s="4" t="s">
        <v>923</v>
      </c>
      <c r="F520" s="4">
        <v>2013</v>
      </c>
      <c r="G520" s="4" t="s">
        <v>901</v>
      </c>
      <c r="H520" s="6">
        <v>0</v>
      </c>
      <c r="I520" s="6" t="s">
        <v>97</v>
      </c>
    </row>
    <row r="521" spans="2:9" hidden="1" x14ac:dyDescent="0.25">
      <c r="B521" s="4" t="s">
        <v>420</v>
      </c>
      <c r="C521" s="4" t="s">
        <v>802</v>
      </c>
      <c r="D521" s="4" t="s">
        <v>9</v>
      </c>
      <c r="E521" s="4" t="s">
        <v>923</v>
      </c>
      <c r="F521" s="4">
        <v>2013</v>
      </c>
      <c r="G521" s="4" t="s">
        <v>901</v>
      </c>
      <c r="H521" s="6">
        <v>0</v>
      </c>
      <c r="I521" s="6" t="s">
        <v>97</v>
      </c>
    </row>
    <row r="522" spans="2:9" x14ac:dyDescent="0.25">
      <c r="B522" s="4" t="s">
        <v>24</v>
      </c>
      <c r="C522" s="4" t="s">
        <v>25</v>
      </c>
      <c r="D522" s="4" t="s">
        <v>9</v>
      </c>
      <c r="E522" s="4" t="s">
        <v>923</v>
      </c>
      <c r="F522" s="4">
        <v>2013</v>
      </c>
      <c r="G522" s="4" t="s">
        <v>901</v>
      </c>
      <c r="H522" s="6">
        <v>1</v>
      </c>
      <c r="I522" s="6" t="s">
        <v>97</v>
      </c>
    </row>
    <row r="523" spans="2:9" x14ac:dyDescent="0.25">
      <c r="B523" s="4" t="s">
        <v>1451</v>
      </c>
      <c r="C523" s="4" t="s">
        <v>26</v>
      </c>
      <c r="D523" s="4" t="s">
        <v>9</v>
      </c>
      <c r="E523" s="4" t="s">
        <v>923</v>
      </c>
      <c r="F523" s="4">
        <v>2013</v>
      </c>
      <c r="G523" s="4" t="s">
        <v>901</v>
      </c>
      <c r="H523" s="6">
        <v>1</v>
      </c>
      <c r="I523" s="6" t="s">
        <v>97</v>
      </c>
    </row>
    <row r="524" spans="2:9" x14ac:dyDescent="0.25">
      <c r="B524" s="4" t="s">
        <v>1452</v>
      </c>
      <c r="C524" s="4" t="s">
        <v>27</v>
      </c>
      <c r="D524" s="4" t="s">
        <v>9</v>
      </c>
      <c r="E524" s="4" t="s">
        <v>923</v>
      </c>
      <c r="F524" s="4">
        <v>2013</v>
      </c>
      <c r="G524" s="4" t="s">
        <v>901</v>
      </c>
      <c r="H524" s="6">
        <v>1</v>
      </c>
      <c r="I524" s="6" t="s">
        <v>97</v>
      </c>
    </row>
    <row r="525" spans="2:9" x14ac:dyDescent="0.25">
      <c r="B525" s="4" t="s">
        <v>1453</v>
      </c>
      <c r="C525" s="4" t="s">
        <v>28</v>
      </c>
      <c r="D525" s="4" t="s">
        <v>9</v>
      </c>
      <c r="E525" s="4" t="s">
        <v>923</v>
      </c>
      <c r="F525" s="4">
        <v>2013</v>
      </c>
      <c r="G525" s="4" t="s">
        <v>901</v>
      </c>
      <c r="H525" s="6">
        <v>1</v>
      </c>
      <c r="I525" s="6" t="s">
        <v>97</v>
      </c>
    </row>
    <row r="526" spans="2:9" x14ac:dyDescent="0.25">
      <c r="B526" s="4" t="s">
        <v>1454</v>
      </c>
      <c r="C526" s="4" t="s">
        <v>29</v>
      </c>
      <c r="D526" s="4" t="s">
        <v>9</v>
      </c>
      <c r="E526" s="4" t="s">
        <v>923</v>
      </c>
      <c r="F526" s="4">
        <v>2013</v>
      </c>
      <c r="G526" s="4" t="s">
        <v>901</v>
      </c>
      <c r="H526" s="6">
        <v>1</v>
      </c>
      <c r="I526" s="6" t="s">
        <v>97</v>
      </c>
    </row>
    <row r="527" spans="2:9" hidden="1" x14ac:dyDescent="0.25">
      <c r="B527" s="4" t="s">
        <v>442</v>
      </c>
      <c r="C527" s="4" t="s">
        <v>867</v>
      </c>
      <c r="D527" s="4" t="s">
        <v>9</v>
      </c>
      <c r="E527" s="4" t="s">
        <v>924</v>
      </c>
      <c r="F527" s="4">
        <v>2017</v>
      </c>
      <c r="G527" s="4" t="s">
        <v>902</v>
      </c>
      <c r="H527" s="6">
        <v>0</v>
      </c>
      <c r="I527" s="6" t="s">
        <v>1515</v>
      </c>
    </row>
    <row r="528" spans="2:9" hidden="1" x14ac:dyDescent="0.25">
      <c r="B528" s="4" t="s">
        <v>443</v>
      </c>
      <c r="C528" s="4" t="s">
        <v>868</v>
      </c>
      <c r="D528" s="4" t="s">
        <v>9</v>
      </c>
      <c r="E528" s="4" t="s">
        <v>924</v>
      </c>
      <c r="F528" s="4">
        <v>2017</v>
      </c>
      <c r="G528" s="4" t="s">
        <v>902</v>
      </c>
      <c r="H528" s="6">
        <v>0</v>
      </c>
      <c r="I528" s="6" t="s">
        <v>1515</v>
      </c>
    </row>
    <row r="529" spans="2:9" hidden="1" x14ac:dyDescent="0.25">
      <c r="B529" s="4" t="s">
        <v>444</v>
      </c>
      <c r="C529" s="4" t="s">
        <v>869</v>
      </c>
      <c r="D529" s="4" t="s">
        <v>9</v>
      </c>
      <c r="E529" s="4" t="s">
        <v>924</v>
      </c>
      <c r="F529" s="4">
        <v>2017</v>
      </c>
      <c r="G529" s="4" t="s">
        <v>902</v>
      </c>
      <c r="H529" s="6">
        <v>0</v>
      </c>
      <c r="I529" s="6" t="s">
        <v>1515</v>
      </c>
    </row>
    <row r="530" spans="2:9" hidden="1" x14ac:dyDescent="0.25">
      <c r="B530" s="4" t="s">
        <v>445</v>
      </c>
      <c r="C530" s="4" t="s">
        <v>870</v>
      </c>
      <c r="D530" s="4" t="s">
        <v>9</v>
      </c>
      <c r="E530" s="4" t="s">
        <v>924</v>
      </c>
      <c r="F530" s="4">
        <v>2017</v>
      </c>
      <c r="G530" s="4" t="s">
        <v>902</v>
      </c>
      <c r="H530" s="6">
        <v>0</v>
      </c>
      <c r="I530" s="6" t="s">
        <v>1515</v>
      </c>
    </row>
    <row r="531" spans="2:9" hidden="1" x14ac:dyDescent="0.25">
      <c r="B531" s="4" t="s">
        <v>446</v>
      </c>
      <c r="C531" s="4" t="s">
        <v>871</v>
      </c>
      <c r="D531" s="4" t="s">
        <v>9</v>
      </c>
      <c r="E531" s="4" t="s">
        <v>924</v>
      </c>
      <c r="F531" s="4">
        <v>2017</v>
      </c>
      <c r="G531" s="4" t="s">
        <v>902</v>
      </c>
      <c r="H531" s="6">
        <v>0</v>
      </c>
      <c r="I531" s="6" t="s">
        <v>1515</v>
      </c>
    </row>
    <row r="532" spans="2:9" hidden="1" x14ac:dyDescent="0.25">
      <c r="B532" s="4" t="s">
        <v>447</v>
      </c>
      <c r="C532" s="4" t="s">
        <v>872</v>
      </c>
      <c r="D532" s="4" t="s">
        <v>9</v>
      </c>
      <c r="E532" s="4" t="s">
        <v>924</v>
      </c>
      <c r="F532" s="4">
        <v>2017</v>
      </c>
      <c r="G532" s="4" t="s">
        <v>902</v>
      </c>
      <c r="H532" s="6">
        <v>0</v>
      </c>
      <c r="I532" s="6" t="s">
        <v>1515</v>
      </c>
    </row>
    <row r="533" spans="2:9" hidden="1" x14ac:dyDescent="0.25">
      <c r="B533" s="4" t="s">
        <v>448</v>
      </c>
      <c r="C533" s="4" t="s">
        <v>873</v>
      </c>
      <c r="D533" s="4" t="s">
        <v>9</v>
      </c>
      <c r="E533" s="4" t="s">
        <v>924</v>
      </c>
      <c r="F533" s="4">
        <v>2017</v>
      </c>
      <c r="G533" s="4" t="s">
        <v>902</v>
      </c>
      <c r="H533" s="6">
        <v>0</v>
      </c>
      <c r="I533" s="6" t="s">
        <v>1515</v>
      </c>
    </row>
    <row r="534" spans="2:9" hidden="1" x14ac:dyDescent="0.25">
      <c r="B534" s="4" t="s">
        <v>449</v>
      </c>
      <c r="C534" s="4" t="s">
        <v>874</v>
      </c>
      <c r="D534" s="4" t="s">
        <v>9</v>
      </c>
      <c r="E534" s="4" t="s">
        <v>924</v>
      </c>
      <c r="F534" s="4">
        <v>2017</v>
      </c>
      <c r="G534" s="4" t="s">
        <v>902</v>
      </c>
      <c r="H534" s="6">
        <v>0</v>
      </c>
      <c r="I534" s="6" t="s">
        <v>1515</v>
      </c>
    </row>
    <row r="535" spans="2:9" hidden="1" x14ac:dyDescent="0.25">
      <c r="B535" s="4" t="s">
        <v>1398</v>
      </c>
      <c r="C535" s="4" t="s">
        <v>875</v>
      </c>
      <c r="D535" s="4" t="s">
        <v>9</v>
      </c>
      <c r="E535" s="4" t="s">
        <v>924</v>
      </c>
      <c r="F535" s="4">
        <v>2017</v>
      </c>
      <c r="G535" s="4" t="s">
        <v>902</v>
      </c>
      <c r="H535" s="6">
        <v>0</v>
      </c>
      <c r="I535" s="6" t="s">
        <v>1515</v>
      </c>
    </row>
    <row r="536" spans="2:9" hidden="1" x14ac:dyDescent="0.25">
      <c r="B536" s="4" t="s">
        <v>1399</v>
      </c>
      <c r="C536" s="4" t="s">
        <v>876</v>
      </c>
      <c r="D536" s="4" t="s">
        <v>9</v>
      </c>
      <c r="E536" s="4" t="s">
        <v>924</v>
      </c>
      <c r="F536" s="4">
        <v>2017</v>
      </c>
      <c r="G536" s="4" t="s">
        <v>902</v>
      </c>
      <c r="H536" s="6">
        <v>0</v>
      </c>
      <c r="I536" s="6" t="s">
        <v>1515</v>
      </c>
    </row>
    <row r="537" spans="2:9" x14ac:dyDescent="0.25">
      <c r="B537" s="4" t="s">
        <v>1400</v>
      </c>
      <c r="C537" s="4" t="s">
        <v>877</v>
      </c>
      <c r="D537" s="4" t="s">
        <v>9</v>
      </c>
      <c r="E537" s="4" t="s">
        <v>1397</v>
      </c>
      <c r="F537" s="4">
        <v>2017</v>
      </c>
      <c r="G537" s="4" t="s">
        <v>1702</v>
      </c>
      <c r="H537" s="6">
        <v>1</v>
      </c>
      <c r="I537" s="6" t="s">
        <v>1515</v>
      </c>
    </row>
    <row r="538" spans="2:9" hidden="1" x14ac:dyDescent="0.25">
      <c r="B538" s="4" t="s">
        <v>1139</v>
      </c>
      <c r="C538" s="4" t="s">
        <v>878</v>
      </c>
      <c r="D538" s="4" t="s">
        <v>9</v>
      </c>
      <c r="E538" s="4" t="s">
        <v>924</v>
      </c>
      <c r="F538" s="4">
        <v>2017</v>
      </c>
      <c r="G538" s="4" t="s">
        <v>902</v>
      </c>
      <c r="H538" s="6">
        <v>0</v>
      </c>
      <c r="I538" s="6" t="s">
        <v>1515</v>
      </c>
    </row>
    <row r="539" spans="2:9" hidden="1" x14ac:dyDescent="0.25">
      <c r="B539" s="4" t="s">
        <v>450</v>
      </c>
      <c r="C539" s="4" t="s">
        <v>879</v>
      </c>
      <c r="D539" s="4" t="s">
        <v>9</v>
      </c>
      <c r="E539" s="4" t="s">
        <v>924</v>
      </c>
      <c r="F539" s="4">
        <v>2017</v>
      </c>
      <c r="G539" s="4" t="s">
        <v>902</v>
      </c>
      <c r="H539" s="6">
        <v>0</v>
      </c>
      <c r="I539" s="6" t="s">
        <v>1515</v>
      </c>
    </row>
    <row r="540" spans="2:9" hidden="1" x14ac:dyDescent="0.25">
      <c r="B540" s="4" t="s">
        <v>451</v>
      </c>
      <c r="C540" s="4" t="s">
        <v>880</v>
      </c>
      <c r="D540" s="4" t="s">
        <v>9</v>
      </c>
      <c r="E540" s="4" t="s">
        <v>924</v>
      </c>
      <c r="F540" s="4">
        <v>2017</v>
      </c>
      <c r="G540" s="4" t="s">
        <v>902</v>
      </c>
      <c r="H540" s="6">
        <v>0</v>
      </c>
      <c r="I540" s="6" t="s">
        <v>1515</v>
      </c>
    </row>
    <row r="541" spans="2:9" hidden="1" x14ac:dyDescent="0.25">
      <c r="B541" s="4" t="s">
        <v>452</v>
      </c>
      <c r="C541" s="4" t="s">
        <v>881</v>
      </c>
      <c r="D541" s="4" t="s">
        <v>9</v>
      </c>
      <c r="E541" s="4" t="s">
        <v>924</v>
      </c>
      <c r="F541" s="4">
        <v>2017</v>
      </c>
      <c r="G541" s="4" t="s">
        <v>902</v>
      </c>
      <c r="H541" s="6">
        <v>0</v>
      </c>
      <c r="I541" s="6" t="s">
        <v>1515</v>
      </c>
    </row>
    <row r="542" spans="2:9" hidden="1" x14ac:dyDescent="0.25">
      <c r="B542" s="4" t="s">
        <v>453</v>
      </c>
      <c r="C542" s="4" t="s">
        <v>882</v>
      </c>
      <c r="D542" s="4" t="s">
        <v>9</v>
      </c>
      <c r="E542" s="4" t="s">
        <v>924</v>
      </c>
      <c r="F542" s="4">
        <v>2017</v>
      </c>
      <c r="G542" s="4" t="s">
        <v>902</v>
      </c>
      <c r="H542" s="6">
        <v>0</v>
      </c>
      <c r="I542" s="6" t="s">
        <v>1515</v>
      </c>
    </row>
    <row r="543" spans="2:9" x14ac:dyDescent="0.25">
      <c r="B543" s="4" t="s">
        <v>42</v>
      </c>
      <c r="C543" s="4" t="s">
        <v>883</v>
      </c>
      <c r="D543" s="4" t="s">
        <v>9</v>
      </c>
      <c r="E543" s="4" t="s">
        <v>1397</v>
      </c>
      <c r="F543" s="4">
        <v>2017</v>
      </c>
      <c r="G543" s="4" t="s">
        <v>1702</v>
      </c>
      <c r="H543" s="6">
        <v>1</v>
      </c>
      <c r="I543" s="6" t="s">
        <v>1515</v>
      </c>
    </row>
    <row r="544" spans="2:9" hidden="1" x14ac:dyDescent="0.25">
      <c r="B544" s="4" t="s">
        <v>454</v>
      </c>
      <c r="C544" s="4" t="s">
        <v>884</v>
      </c>
      <c r="D544" s="4" t="s">
        <v>9</v>
      </c>
      <c r="E544" s="4" t="s">
        <v>924</v>
      </c>
      <c r="F544" s="4">
        <v>2017</v>
      </c>
      <c r="G544" s="4" t="s">
        <v>902</v>
      </c>
      <c r="H544" s="6">
        <v>0</v>
      </c>
      <c r="I544" s="6" t="s">
        <v>1515</v>
      </c>
    </row>
    <row r="545" spans="2:9" hidden="1" x14ac:dyDescent="0.25">
      <c r="B545" s="4" t="s">
        <v>455</v>
      </c>
      <c r="C545" s="4" t="s">
        <v>885</v>
      </c>
      <c r="D545" s="4" t="s">
        <v>9</v>
      </c>
      <c r="E545" s="4" t="s">
        <v>924</v>
      </c>
      <c r="F545" s="4">
        <v>2017</v>
      </c>
      <c r="G545" s="4" t="s">
        <v>902</v>
      </c>
      <c r="H545" s="6">
        <v>0</v>
      </c>
      <c r="I545" s="6" t="s">
        <v>1515</v>
      </c>
    </row>
    <row r="546" spans="2:9" hidden="1" x14ac:dyDescent="0.25">
      <c r="B546" s="4" t="s">
        <v>456</v>
      </c>
      <c r="C546" s="4" t="s">
        <v>886</v>
      </c>
      <c r="D546" s="4" t="s">
        <v>9</v>
      </c>
      <c r="E546" s="4" t="s">
        <v>924</v>
      </c>
      <c r="F546" s="4">
        <v>2017</v>
      </c>
      <c r="G546" s="4" t="s">
        <v>902</v>
      </c>
      <c r="H546" s="6">
        <v>0</v>
      </c>
      <c r="I546" s="6" t="s">
        <v>1515</v>
      </c>
    </row>
    <row r="547" spans="2:9" x14ac:dyDescent="0.25">
      <c r="B547" s="4" t="s">
        <v>43</v>
      </c>
      <c r="C547" s="4" t="s">
        <v>887</v>
      </c>
      <c r="D547" s="4" t="s">
        <v>9</v>
      </c>
      <c r="E547" s="4" t="s">
        <v>1397</v>
      </c>
      <c r="F547" s="4">
        <v>2017</v>
      </c>
      <c r="G547" s="4" t="s">
        <v>1702</v>
      </c>
      <c r="H547" s="6">
        <v>1</v>
      </c>
      <c r="I547" s="6" t="s">
        <v>1515</v>
      </c>
    </row>
    <row r="548" spans="2:9" hidden="1" x14ac:dyDescent="0.25">
      <c r="B548" s="4" t="s">
        <v>1140</v>
      </c>
      <c r="C548" s="4" t="s">
        <v>888</v>
      </c>
      <c r="D548" s="4" t="s">
        <v>9</v>
      </c>
      <c r="E548" s="4" t="s">
        <v>924</v>
      </c>
      <c r="F548" s="4">
        <v>2017</v>
      </c>
      <c r="G548" s="4" t="s">
        <v>902</v>
      </c>
      <c r="H548" s="6">
        <v>0</v>
      </c>
      <c r="I548" s="6" t="s">
        <v>1515</v>
      </c>
    </row>
    <row r="549" spans="2:9" hidden="1" x14ac:dyDescent="0.25">
      <c r="B549" s="4" t="s">
        <v>1141</v>
      </c>
      <c r="C549" s="4" t="s">
        <v>889</v>
      </c>
      <c r="D549" s="4" t="s">
        <v>9</v>
      </c>
      <c r="E549" s="4" t="s">
        <v>924</v>
      </c>
      <c r="F549" s="4">
        <v>2017</v>
      </c>
      <c r="G549" s="4" t="s">
        <v>902</v>
      </c>
      <c r="H549" s="6">
        <v>0</v>
      </c>
      <c r="I549" s="6" t="s">
        <v>1515</v>
      </c>
    </row>
    <row r="550" spans="2:9" hidden="1" x14ac:dyDescent="0.25">
      <c r="B550" s="4" t="s">
        <v>1142</v>
      </c>
      <c r="C550" s="4" t="s">
        <v>890</v>
      </c>
      <c r="D550" s="4" t="s">
        <v>9</v>
      </c>
      <c r="E550" s="4" t="s">
        <v>924</v>
      </c>
      <c r="F550" s="4">
        <v>2017</v>
      </c>
      <c r="G550" s="4" t="s">
        <v>902</v>
      </c>
      <c r="H550" s="6">
        <v>0</v>
      </c>
      <c r="I550" s="6" t="s">
        <v>1515</v>
      </c>
    </row>
    <row r="551" spans="2:9" hidden="1" x14ac:dyDescent="0.25">
      <c r="B551" s="4" t="s">
        <v>1143</v>
      </c>
      <c r="C551" s="4" t="s">
        <v>891</v>
      </c>
      <c r="D551" s="4" t="s">
        <v>9</v>
      </c>
      <c r="E551" s="4" t="s">
        <v>924</v>
      </c>
      <c r="F551" s="4">
        <v>2017</v>
      </c>
      <c r="G551" s="4" t="s">
        <v>902</v>
      </c>
      <c r="H551" s="6">
        <v>0</v>
      </c>
      <c r="I551" s="6" t="s">
        <v>1515</v>
      </c>
    </row>
    <row r="552" spans="2:9" hidden="1" x14ac:dyDescent="0.25">
      <c r="B552" s="4" t="s">
        <v>1144</v>
      </c>
      <c r="C552" s="4" t="s">
        <v>892</v>
      </c>
      <c r="D552" s="4" t="s">
        <v>9</v>
      </c>
      <c r="E552" s="4" t="s">
        <v>924</v>
      </c>
      <c r="F552" s="4">
        <v>2017</v>
      </c>
      <c r="G552" s="4" t="s">
        <v>902</v>
      </c>
      <c r="H552" s="6">
        <v>0</v>
      </c>
      <c r="I552" s="6" t="s">
        <v>1515</v>
      </c>
    </row>
    <row r="553" spans="2:9" hidden="1" x14ac:dyDescent="0.25">
      <c r="B553" s="4" t="s">
        <v>457</v>
      </c>
      <c r="C553" s="4" t="s">
        <v>893</v>
      </c>
      <c r="D553" s="4" t="s">
        <v>9</v>
      </c>
      <c r="E553" s="4" t="s">
        <v>924</v>
      </c>
      <c r="F553" s="4">
        <v>2017</v>
      </c>
      <c r="G553" s="4" t="s">
        <v>902</v>
      </c>
      <c r="H553" s="6">
        <v>0</v>
      </c>
      <c r="I553" s="6" t="s">
        <v>1515</v>
      </c>
    </row>
    <row r="554" spans="2:9" hidden="1" x14ac:dyDescent="0.25">
      <c r="B554" s="4" t="s">
        <v>458</v>
      </c>
      <c r="C554" s="4" t="s">
        <v>894</v>
      </c>
      <c r="D554" s="4" t="s">
        <v>9</v>
      </c>
      <c r="E554" s="4" t="s">
        <v>924</v>
      </c>
      <c r="F554" s="4">
        <v>2017</v>
      </c>
      <c r="G554" s="4" t="s">
        <v>902</v>
      </c>
      <c r="H554" s="6">
        <v>0</v>
      </c>
      <c r="I554" s="6" t="s">
        <v>1515</v>
      </c>
    </row>
    <row r="555" spans="2:9" hidden="1" x14ac:dyDescent="0.25">
      <c r="B555" s="4" t="s">
        <v>459</v>
      </c>
      <c r="C555" s="4" t="s">
        <v>895</v>
      </c>
      <c r="D555" s="4" t="s">
        <v>9</v>
      </c>
      <c r="E555" s="4" t="s">
        <v>924</v>
      </c>
      <c r="F555" s="4">
        <v>2017</v>
      </c>
      <c r="G555" s="4" t="s">
        <v>902</v>
      </c>
      <c r="H555" s="6">
        <v>0</v>
      </c>
      <c r="I555" s="6" t="s">
        <v>1515</v>
      </c>
    </row>
    <row r="556" spans="2:9" hidden="1" x14ac:dyDescent="0.25">
      <c r="B556" s="4" t="s">
        <v>460</v>
      </c>
      <c r="C556" s="4" t="s">
        <v>896</v>
      </c>
      <c r="D556" s="4" t="s">
        <v>9</v>
      </c>
      <c r="E556" s="4" t="s">
        <v>924</v>
      </c>
      <c r="F556" s="4">
        <v>2017</v>
      </c>
      <c r="G556" s="4" t="s">
        <v>902</v>
      </c>
      <c r="H556" s="6">
        <v>0</v>
      </c>
      <c r="I556" s="6" t="s">
        <v>1515</v>
      </c>
    </row>
    <row r="557" spans="2:9" hidden="1" x14ac:dyDescent="0.25">
      <c r="B557" s="4" t="s">
        <v>461</v>
      </c>
      <c r="C557" s="4" t="s">
        <v>897</v>
      </c>
      <c r="D557" s="4" t="s">
        <v>9</v>
      </c>
      <c r="E557" s="4" t="s">
        <v>924</v>
      </c>
      <c r="F557" s="4">
        <v>2017</v>
      </c>
      <c r="G557" s="4" t="s">
        <v>902</v>
      </c>
      <c r="H557" s="6">
        <v>0</v>
      </c>
      <c r="I557" s="6" t="s">
        <v>1515</v>
      </c>
    </row>
    <row r="558" spans="2:9" hidden="1" x14ac:dyDescent="0.25">
      <c r="B558" s="4" t="s">
        <v>462</v>
      </c>
      <c r="C558" s="4" t="s">
        <v>898</v>
      </c>
      <c r="D558" s="4" t="s">
        <v>9</v>
      </c>
      <c r="E558" s="4" t="s">
        <v>924</v>
      </c>
      <c r="F558" s="4">
        <v>2017</v>
      </c>
      <c r="G558" s="4" t="s">
        <v>902</v>
      </c>
      <c r="H558" s="6">
        <v>0</v>
      </c>
      <c r="I558" s="6" t="s">
        <v>1515</v>
      </c>
    </row>
    <row r="559" spans="2:9" x14ac:dyDescent="0.25">
      <c r="B559" s="4" t="s">
        <v>71</v>
      </c>
      <c r="C559" s="4" t="s">
        <v>91</v>
      </c>
      <c r="D559" s="4" t="s">
        <v>9</v>
      </c>
      <c r="E559" s="4" t="s">
        <v>1397</v>
      </c>
      <c r="F559" s="4">
        <v>2017</v>
      </c>
      <c r="G559" s="4" t="s">
        <v>1637</v>
      </c>
      <c r="H559" s="6">
        <v>1</v>
      </c>
      <c r="I559" s="6" t="s">
        <v>1515</v>
      </c>
    </row>
    <row r="560" spans="2:9" x14ac:dyDescent="0.25">
      <c r="B560" s="4" t="s">
        <v>72</v>
      </c>
      <c r="C560" s="4" t="s">
        <v>92</v>
      </c>
      <c r="D560" s="4" t="s">
        <v>9</v>
      </c>
      <c r="E560" s="4" t="s">
        <v>1397</v>
      </c>
      <c r="F560" s="4">
        <v>2017</v>
      </c>
      <c r="G560" s="4" t="s">
        <v>1638</v>
      </c>
      <c r="H560" s="6">
        <v>1</v>
      </c>
      <c r="I560" s="6" t="s">
        <v>1515</v>
      </c>
    </row>
    <row r="561" spans="2:9" x14ac:dyDescent="0.25">
      <c r="B561" s="4" t="s">
        <v>1101</v>
      </c>
      <c r="C561" s="4" t="s">
        <v>1751</v>
      </c>
      <c r="D561" s="4" t="s">
        <v>9</v>
      </c>
      <c r="E561" s="4" t="s">
        <v>1446</v>
      </c>
      <c r="F561" s="4">
        <v>2013</v>
      </c>
      <c r="G561" s="4" t="s">
        <v>1349</v>
      </c>
      <c r="H561" s="6">
        <v>1</v>
      </c>
      <c r="I561" s="6" t="s">
        <v>1515</v>
      </c>
    </row>
    <row r="562" spans="2:9" x14ac:dyDescent="0.25">
      <c r="B562" s="4" t="s">
        <v>1102</v>
      </c>
      <c r="C562" s="4" t="s">
        <v>1428</v>
      </c>
      <c r="D562" s="4" t="s">
        <v>9</v>
      </c>
      <c r="E562" s="4" t="s">
        <v>1446</v>
      </c>
      <c r="F562" s="4">
        <v>2013</v>
      </c>
      <c r="G562" s="4" t="s">
        <v>1349</v>
      </c>
      <c r="H562" s="6">
        <v>1</v>
      </c>
      <c r="I562" s="6" t="s">
        <v>1515</v>
      </c>
    </row>
    <row r="563" spans="2:9" x14ac:dyDescent="0.25">
      <c r="B563" s="4" t="s">
        <v>1103</v>
      </c>
      <c r="C563" s="4" t="s">
        <v>1427</v>
      </c>
      <c r="D563" s="4" t="s">
        <v>9</v>
      </c>
      <c r="E563" s="4" t="s">
        <v>1446</v>
      </c>
      <c r="F563" s="4">
        <v>2013</v>
      </c>
      <c r="G563" s="4" t="s">
        <v>1349</v>
      </c>
      <c r="H563" s="6">
        <v>1</v>
      </c>
      <c r="I563" s="6" t="s">
        <v>1515</v>
      </c>
    </row>
    <row r="564" spans="2:9" x14ac:dyDescent="0.25">
      <c r="B564" s="4" t="s">
        <v>1104</v>
      </c>
      <c r="C564" s="4" t="s">
        <v>1429</v>
      </c>
      <c r="D564" s="4" t="s">
        <v>9</v>
      </c>
      <c r="E564" s="4" t="s">
        <v>1446</v>
      </c>
      <c r="F564" s="4">
        <v>2013</v>
      </c>
      <c r="G564" s="4" t="s">
        <v>1349</v>
      </c>
      <c r="H564" s="6">
        <v>1</v>
      </c>
      <c r="I564" s="6" t="s">
        <v>1515</v>
      </c>
    </row>
    <row r="565" spans="2:9" x14ac:dyDescent="0.25">
      <c r="B565" s="4" t="s">
        <v>1455</v>
      </c>
      <c r="C565" s="4" t="s">
        <v>1424</v>
      </c>
      <c r="D565" s="4" t="s">
        <v>9</v>
      </c>
      <c r="E565" s="4" t="s">
        <v>923</v>
      </c>
      <c r="F565" s="4">
        <v>2013</v>
      </c>
      <c r="G565" s="4" t="s">
        <v>901</v>
      </c>
      <c r="H565" s="6">
        <v>1</v>
      </c>
      <c r="I565" s="6" t="s">
        <v>97</v>
      </c>
    </row>
    <row r="566" spans="2:9" x14ac:dyDescent="0.25">
      <c r="B566" s="4" t="s">
        <v>1576</v>
      </c>
      <c r="C566" s="4" t="s">
        <v>1575</v>
      </c>
      <c r="D566" s="4" t="s">
        <v>9</v>
      </c>
      <c r="E566" s="4" t="s">
        <v>1573</v>
      </c>
      <c r="F566" s="4">
        <v>2014</v>
      </c>
      <c r="G566" s="4" t="s">
        <v>1574</v>
      </c>
      <c r="H566" s="6">
        <v>1</v>
      </c>
      <c r="I566" s="6" t="s">
        <v>1515</v>
      </c>
    </row>
    <row r="567" spans="2:9" x14ac:dyDescent="0.25">
      <c r="B567" s="4" t="s">
        <v>44</v>
      </c>
      <c r="C567" s="4" t="s">
        <v>1431</v>
      </c>
      <c r="D567" s="4" t="s">
        <v>1351</v>
      </c>
      <c r="E567" s="4" t="s">
        <v>921</v>
      </c>
      <c r="F567" s="4">
        <v>2017</v>
      </c>
      <c r="G567" s="4" t="s">
        <v>1448</v>
      </c>
      <c r="H567" s="6">
        <v>1</v>
      </c>
      <c r="I567" s="6" t="s">
        <v>1515</v>
      </c>
    </row>
    <row r="568" spans="2:9" x14ac:dyDescent="0.25">
      <c r="B568" s="4" t="s">
        <v>45</v>
      </c>
      <c r="C568" s="4" t="s">
        <v>1432</v>
      </c>
      <c r="D568" s="4" t="s">
        <v>1351</v>
      </c>
      <c r="E568" s="4" t="s">
        <v>921</v>
      </c>
      <c r="F568" s="4">
        <v>2017</v>
      </c>
      <c r="G568" s="4" t="s">
        <v>1448</v>
      </c>
      <c r="H568" s="6">
        <v>1</v>
      </c>
      <c r="I568" s="6" t="s">
        <v>1515</v>
      </c>
    </row>
    <row r="569" spans="2:9" x14ac:dyDescent="0.25">
      <c r="B569" s="4" t="s">
        <v>46</v>
      </c>
      <c r="C569" s="4" t="s">
        <v>1433</v>
      </c>
      <c r="D569" s="4" t="s">
        <v>1351</v>
      </c>
      <c r="E569" s="4" t="s">
        <v>921</v>
      </c>
      <c r="F569" s="4">
        <v>2017</v>
      </c>
      <c r="G569" s="4" t="s">
        <v>1448</v>
      </c>
      <c r="H569" s="6">
        <v>1</v>
      </c>
      <c r="I569" s="6" t="s">
        <v>1515</v>
      </c>
    </row>
    <row r="570" spans="2:9" x14ac:dyDescent="0.25">
      <c r="B570" s="4" t="s">
        <v>47</v>
      </c>
      <c r="C570" s="4" t="s">
        <v>1434</v>
      </c>
      <c r="D570" s="4" t="s">
        <v>1351</v>
      </c>
      <c r="E570" s="4" t="s">
        <v>921</v>
      </c>
      <c r="F570" s="4">
        <v>2017</v>
      </c>
      <c r="G570" s="4" t="s">
        <v>1448</v>
      </c>
      <c r="H570" s="6">
        <v>1</v>
      </c>
      <c r="I570" s="6" t="s">
        <v>1515</v>
      </c>
    </row>
    <row r="571" spans="2:9" x14ac:dyDescent="0.25">
      <c r="B571" s="4" t="s">
        <v>48</v>
      </c>
      <c r="C571" s="4" t="s">
        <v>1435</v>
      </c>
      <c r="D571" s="4" t="s">
        <v>1351</v>
      </c>
      <c r="E571" s="4" t="s">
        <v>921</v>
      </c>
      <c r="F571" s="4">
        <v>2017</v>
      </c>
      <c r="G571" s="4" t="s">
        <v>1448</v>
      </c>
      <c r="H571" s="6">
        <v>1</v>
      </c>
      <c r="I571" s="6" t="s">
        <v>1515</v>
      </c>
    </row>
    <row r="572" spans="2:9" hidden="1" x14ac:dyDescent="0.25">
      <c r="B572" s="4" t="s">
        <v>463</v>
      </c>
      <c r="C572" s="4" t="s">
        <v>831</v>
      </c>
      <c r="D572" s="4" t="s">
        <v>1351</v>
      </c>
      <c r="E572" s="4" t="s">
        <v>921</v>
      </c>
      <c r="F572" s="4">
        <v>2017</v>
      </c>
      <c r="G572" s="4" t="s">
        <v>1448</v>
      </c>
      <c r="H572" s="6">
        <v>0</v>
      </c>
      <c r="I572" s="6" t="s">
        <v>1515</v>
      </c>
    </row>
    <row r="573" spans="2:9" hidden="1" x14ac:dyDescent="0.25">
      <c r="B573" s="4" t="s">
        <v>464</v>
      </c>
      <c r="C573" s="4" t="s">
        <v>832</v>
      </c>
      <c r="D573" s="4" t="s">
        <v>1351</v>
      </c>
      <c r="E573" s="4" t="s">
        <v>921</v>
      </c>
      <c r="F573" s="4">
        <v>2017</v>
      </c>
      <c r="G573" s="4" t="s">
        <v>1448</v>
      </c>
      <c r="H573" s="6">
        <v>0</v>
      </c>
      <c r="I573" s="6" t="s">
        <v>1515</v>
      </c>
    </row>
    <row r="574" spans="2:9" hidden="1" x14ac:dyDescent="0.25">
      <c r="B574" s="4" t="s">
        <v>465</v>
      </c>
      <c r="C574" s="4" t="s">
        <v>833</v>
      </c>
      <c r="D574" s="4" t="s">
        <v>1351</v>
      </c>
      <c r="E574" s="4" t="s">
        <v>921</v>
      </c>
      <c r="F574" s="4">
        <v>2017</v>
      </c>
      <c r="G574" s="4" t="s">
        <v>1448</v>
      </c>
      <c r="H574" s="6">
        <v>0</v>
      </c>
      <c r="I574" s="6" t="s">
        <v>1515</v>
      </c>
    </row>
    <row r="575" spans="2:9" hidden="1" x14ac:dyDescent="0.25">
      <c r="B575" s="4" t="s">
        <v>466</v>
      </c>
      <c r="C575" s="4" t="s">
        <v>834</v>
      </c>
      <c r="D575" s="4" t="s">
        <v>1351</v>
      </c>
      <c r="E575" s="4" t="s">
        <v>921</v>
      </c>
      <c r="F575" s="4">
        <v>2017</v>
      </c>
      <c r="G575" s="4" t="s">
        <v>1448</v>
      </c>
      <c r="H575" s="6">
        <v>0</v>
      </c>
      <c r="I575" s="6" t="s">
        <v>1515</v>
      </c>
    </row>
    <row r="576" spans="2:9" hidden="1" x14ac:dyDescent="0.25">
      <c r="B576" s="4" t="s">
        <v>467</v>
      </c>
      <c r="C576" s="4" t="s">
        <v>835</v>
      </c>
      <c r="D576" s="4" t="s">
        <v>1351</v>
      </c>
      <c r="E576" s="4" t="s">
        <v>921</v>
      </c>
      <c r="F576" s="4">
        <v>2017</v>
      </c>
      <c r="G576" s="4" t="s">
        <v>1448</v>
      </c>
      <c r="H576" s="6">
        <v>0</v>
      </c>
      <c r="I576" s="6" t="s">
        <v>1515</v>
      </c>
    </row>
    <row r="577" spans="2:9" hidden="1" x14ac:dyDescent="0.25">
      <c r="B577" s="4" t="s">
        <v>468</v>
      </c>
      <c r="C577" s="4" t="s">
        <v>836</v>
      </c>
      <c r="D577" s="4" t="s">
        <v>1351</v>
      </c>
      <c r="E577" s="4" t="s">
        <v>921</v>
      </c>
      <c r="F577" s="4">
        <v>2017</v>
      </c>
      <c r="G577" s="4" t="s">
        <v>1448</v>
      </c>
      <c r="H577" s="6">
        <v>0</v>
      </c>
      <c r="I577" s="6" t="s">
        <v>1515</v>
      </c>
    </row>
    <row r="578" spans="2:9" hidden="1" x14ac:dyDescent="0.25">
      <c r="B578" s="4" t="s">
        <v>469</v>
      </c>
      <c r="C578" s="4" t="s">
        <v>837</v>
      </c>
      <c r="D578" s="4" t="s">
        <v>1351</v>
      </c>
      <c r="E578" s="4" t="s">
        <v>921</v>
      </c>
      <c r="F578" s="4">
        <v>2017</v>
      </c>
      <c r="G578" s="4" t="s">
        <v>1448</v>
      </c>
      <c r="H578" s="6">
        <v>0</v>
      </c>
      <c r="I578" s="6" t="s">
        <v>1515</v>
      </c>
    </row>
    <row r="579" spans="2:9" hidden="1" x14ac:dyDescent="0.25">
      <c r="B579" s="4" t="s">
        <v>470</v>
      </c>
      <c r="C579" s="4" t="s">
        <v>838</v>
      </c>
      <c r="D579" s="4" t="s">
        <v>1351</v>
      </c>
      <c r="E579" s="4" t="s">
        <v>921</v>
      </c>
      <c r="F579" s="4">
        <v>2017</v>
      </c>
      <c r="G579" s="4" t="s">
        <v>1448</v>
      </c>
      <c r="H579" s="6">
        <v>0</v>
      </c>
      <c r="I579" s="6" t="s">
        <v>1515</v>
      </c>
    </row>
    <row r="580" spans="2:9" hidden="1" x14ac:dyDescent="0.25">
      <c r="B580" s="4" t="s">
        <v>471</v>
      </c>
      <c r="C580" s="4" t="s">
        <v>839</v>
      </c>
      <c r="D580" s="4" t="s">
        <v>1351</v>
      </c>
      <c r="E580" s="4" t="s">
        <v>921</v>
      </c>
      <c r="F580" s="4">
        <v>2017</v>
      </c>
      <c r="G580" s="4" t="s">
        <v>1448</v>
      </c>
      <c r="H580" s="6">
        <v>0</v>
      </c>
      <c r="I580" s="6" t="s">
        <v>1515</v>
      </c>
    </row>
    <row r="581" spans="2:9" hidden="1" x14ac:dyDescent="0.25">
      <c r="B581" s="4" t="s">
        <v>472</v>
      </c>
      <c r="C581" s="4" t="s">
        <v>840</v>
      </c>
      <c r="D581" s="4" t="s">
        <v>1351</v>
      </c>
      <c r="E581" s="4" t="s">
        <v>921</v>
      </c>
      <c r="F581" s="4">
        <v>2017</v>
      </c>
      <c r="G581" s="4" t="s">
        <v>1448</v>
      </c>
      <c r="H581" s="6">
        <v>0</v>
      </c>
      <c r="I581" s="6" t="s">
        <v>1515</v>
      </c>
    </row>
    <row r="582" spans="2:9" x14ac:dyDescent="0.25">
      <c r="B582" s="4" t="s">
        <v>49</v>
      </c>
      <c r="C582" s="4" t="s">
        <v>1430</v>
      </c>
      <c r="D582" s="4" t="s">
        <v>1351</v>
      </c>
      <c r="E582" s="4" t="s">
        <v>921</v>
      </c>
      <c r="F582" s="4">
        <v>2017</v>
      </c>
      <c r="G582" s="4" t="s">
        <v>1448</v>
      </c>
      <c r="H582" s="6">
        <v>1</v>
      </c>
      <c r="I582" s="6" t="s">
        <v>1515</v>
      </c>
    </row>
    <row r="583" spans="2:9" hidden="1" x14ac:dyDescent="0.25">
      <c r="B583" s="4" t="s">
        <v>473</v>
      </c>
      <c r="C583" s="4" t="s">
        <v>841</v>
      </c>
      <c r="D583" s="4" t="s">
        <v>1351</v>
      </c>
      <c r="E583" s="4" t="s">
        <v>921</v>
      </c>
      <c r="F583" s="4">
        <v>2017</v>
      </c>
      <c r="G583" s="4" t="s">
        <v>1448</v>
      </c>
      <c r="H583" s="6">
        <v>0</v>
      </c>
      <c r="I583" s="6" t="s">
        <v>1515</v>
      </c>
    </row>
    <row r="584" spans="2:9" hidden="1" x14ac:dyDescent="0.25">
      <c r="B584" s="4" t="s">
        <v>474</v>
      </c>
      <c r="C584" s="4" t="s">
        <v>842</v>
      </c>
      <c r="D584" s="4" t="s">
        <v>1351</v>
      </c>
      <c r="E584" s="4" t="s">
        <v>921</v>
      </c>
      <c r="F584" s="4">
        <v>2017</v>
      </c>
      <c r="G584" s="4" t="s">
        <v>1448</v>
      </c>
      <c r="H584" s="6">
        <v>0</v>
      </c>
      <c r="I584" s="6" t="s">
        <v>1515</v>
      </c>
    </row>
    <row r="585" spans="2:9" hidden="1" x14ac:dyDescent="0.25">
      <c r="B585" s="4" t="s">
        <v>475</v>
      </c>
      <c r="C585" s="4" t="s">
        <v>843</v>
      </c>
      <c r="D585" s="4" t="s">
        <v>1351</v>
      </c>
      <c r="E585" s="4" t="s">
        <v>921</v>
      </c>
      <c r="F585" s="4">
        <v>2017</v>
      </c>
      <c r="G585" s="4" t="s">
        <v>1448</v>
      </c>
      <c r="H585" s="6">
        <v>0</v>
      </c>
      <c r="I585" s="6" t="s">
        <v>1515</v>
      </c>
    </row>
    <row r="586" spans="2:9" hidden="1" x14ac:dyDescent="0.25">
      <c r="B586" s="4" t="s">
        <v>476</v>
      </c>
      <c r="C586" s="4" t="s">
        <v>844</v>
      </c>
      <c r="D586" s="4" t="s">
        <v>1351</v>
      </c>
      <c r="E586" s="4" t="s">
        <v>921</v>
      </c>
      <c r="F586" s="4">
        <v>2017</v>
      </c>
      <c r="G586" s="4" t="s">
        <v>1448</v>
      </c>
      <c r="H586" s="6">
        <v>0</v>
      </c>
      <c r="I586" s="6" t="s">
        <v>1515</v>
      </c>
    </row>
    <row r="587" spans="2:9" x14ac:dyDescent="0.25">
      <c r="B587" s="4" t="s">
        <v>50</v>
      </c>
      <c r="C587" s="4" t="s">
        <v>51</v>
      </c>
      <c r="D587" s="4" t="s">
        <v>1351</v>
      </c>
      <c r="E587" s="4" t="s">
        <v>922</v>
      </c>
      <c r="F587" s="4">
        <v>2017</v>
      </c>
      <c r="G587" s="4" t="s">
        <v>1448</v>
      </c>
      <c r="H587" s="6">
        <v>1</v>
      </c>
      <c r="I587" s="6" t="s">
        <v>1515</v>
      </c>
    </row>
    <row r="588" spans="2:9" x14ac:dyDescent="0.25">
      <c r="B588" s="4" t="s">
        <v>52</v>
      </c>
      <c r="C588" s="4" t="s">
        <v>53</v>
      </c>
      <c r="D588" s="4" t="s">
        <v>1351</v>
      </c>
      <c r="E588" s="4" t="s">
        <v>922</v>
      </c>
      <c r="F588" s="4">
        <v>2017</v>
      </c>
      <c r="G588" s="4" t="s">
        <v>1448</v>
      </c>
      <c r="H588" s="6">
        <v>1</v>
      </c>
      <c r="I588" s="6" t="s">
        <v>1515</v>
      </c>
    </row>
    <row r="589" spans="2:9" x14ac:dyDescent="0.25">
      <c r="B589" s="4" t="s">
        <v>54</v>
      </c>
      <c r="C589" s="4" t="s">
        <v>55</v>
      </c>
      <c r="D589" s="4" t="s">
        <v>1351</v>
      </c>
      <c r="E589" s="4" t="s">
        <v>922</v>
      </c>
      <c r="F589" s="4">
        <v>2017</v>
      </c>
      <c r="G589" s="4" t="s">
        <v>1448</v>
      </c>
      <c r="H589" s="6">
        <v>1</v>
      </c>
      <c r="I589" s="6" t="s">
        <v>1515</v>
      </c>
    </row>
    <row r="590" spans="2:9" x14ac:dyDescent="0.25">
      <c r="B590" s="4" t="s">
        <v>56</v>
      </c>
      <c r="C590" s="4" t="s">
        <v>57</v>
      </c>
      <c r="D590" s="4" t="s">
        <v>1351</v>
      </c>
      <c r="E590" s="4" t="s">
        <v>922</v>
      </c>
      <c r="F590" s="4">
        <v>2017</v>
      </c>
      <c r="G590" s="4" t="s">
        <v>1448</v>
      </c>
      <c r="H590" s="6">
        <v>1</v>
      </c>
      <c r="I590" s="6" t="s">
        <v>1515</v>
      </c>
    </row>
    <row r="591" spans="2:9" hidden="1" x14ac:dyDescent="0.25">
      <c r="B591" s="4" t="s">
        <v>477</v>
      </c>
      <c r="C591" s="4" t="s">
        <v>845</v>
      </c>
      <c r="D591" s="4" t="s">
        <v>1351</v>
      </c>
      <c r="E591" s="4" t="s">
        <v>922</v>
      </c>
      <c r="F591" s="4">
        <v>2017</v>
      </c>
      <c r="G591" s="4" t="s">
        <v>1448</v>
      </c>
      <c r="H591" s="6">
        <v>0</v>
      </c>
      <c r="I591" s="6" t="s">
        <v>1515</v>
      </c>
    </row>
    <row r="592" spans="2:9" hidden="1" x14ac:dyDescent="0.25">
      <c r="B592" s="4" t="s">
        <v>478</v>
      </c>
      <c r="C592" s="4" t="s">
        <v>846</v>
      </c>
      <c r="D592" s="4" t="s">
        <v>1351</v>
      </c>
      <c r="E592" s="4" t="s">
        <v>922</v>
      </c>
      <c r="F592" s="4">
        <v>2017</v>
      </c>
      <c r="G592" s="4" t="s">
        <v>1448</v>
      </c>
      <c r="H592" s="6">
        <v>0</v>
      </c>
      <c r="I592" s="6" t="s">
        <v>1515</v>
      </c>
    </row>
    <row r="593" spans="2:9" hidden="1" x14ac:dyDescent="0.25">
      <c r="B593" s="4" t="s">
        <v>479</v>
      </c>
      <c r="C593" s="4" t="s">
        <v>847</v>
      </c>
      <c r="D593" s="4" t="s">
        <v>1351</v>
      </c>
      <c r="E593" s="4" t="s">
        <v>922</v>
      </c>
      <c r="F593" s="4">
        <v>2017</v>
      </c>
      <c r="G593" s="4" t="s">
        <v>1448</v>
      </c>
      <c r="H593" s="6">
        <v>0</v>
      </c>
      <c r="I593" s="6" t="s">
        <v>1515</v>
      </c>
    </row>
    <row r="594" spans="2:9" hidden="1" x14ac:dyDescent="0.25">
      <c r="B594" s="4" t="s">
        <v>480</v>
      </c>
      <c r="C594" s="4" t="s">
        <v>848</v>
      </c>
      <c r="D594" s="4" t="s">
        <v>1351</v>
      </c>
      <c r="E594" s="4" t="s">
        <v>922</v>
      </c>
      <c r="F594" s="4">
        <v>2017</v>
      </c>
      <c r="G594" s="4" t="s">
        <v>1448</v>
      </c>
      <c r="H594" s="6">
        <v>0</v>
      </c>
      <c r="I594" s="6" t="s">
        <v>1515</v>
      </c>
    </row>
    <row r="595" spans="2:9" hidden="1" x14ac:dyDescent="0.25">
      <c r="B595" s="4" t="s">
        <v>481</v>
      </c>
      <c r="C595" s="4" t="s">
        <v>849</v>
      </c>
      <c r="D595" s="4" t="s">
        <v>1351</v>
      </c>
      <c r="E595" s="4" t="s">
        <v>922</v>
      </c>
      <c r="F595" s="4">
        <v>2017</v>
      </c>
      <c r="G595" s="4" t="s">
        <v>1448</v>
      </c>
      <c r="H595" s="6">
        <v>0</v>
      </c>
      <c r="I595" s="6" t="s">
        <v>1515</v>
      </c>
    </row>
    <row r="596" spans="2:9" hidden="1" x14ac:dyDescent="0.25">
      <c r="B596" s="4" t="s">
        <v>482</v>
      </c>
      <c r="C596" s="4" t="s">
        <v>850</v>
      </c>
      <c r="D596" s="4" t="s">
        <v>1351</v>
      </c>
      <c r="E596" s="4" t="s">
        <v>922</v>
      </c>
      <c r="F596" s="4">
        <v>2017</v>
      </c>
      <c r="G596" s="4" t="s">
        <v>1448</v>
      </c>
      <c r="H596" s="6">
        <v>0</v>
      </c>
      <c r="I596" s="6" t="s">
        <v>1515</v>
      </c>
    </row>
    <row r="597" spans="2:9" hidden="1" x14ac:dyDescent="0.25">
      <c r="B597" s="4" t="s">
        <v>483</v>
      </c>
      <c r="C597" s="4" t="s">
        <v>851</v>
      </c>
      <c r="D597" s="4" t="s">
        <v>1351</v>
      </c>
      <c r="E597" s="4" t="s">
        <v>922</v>
      </c>
      <c r="F597" s="4">
        <v>2017</v>
      </c>
      <c r="G597" s="4" t="s">
        <v>1448</v>
      </c>
      <c r="H597" s="6">
        <v>0</v>
      </c>
      <c r="I597" s="6" t="s">
        <v>1515</v>
      </c>
    </row>
    <row r="598" spans="2:9" hidden="1" x14ac:dyDescent="0.25">
      <c r="B598" s="4" t="s">
        <v>484</v>
      </c>
      <c r="C598" s="4" t="s">
        <v>852</v>
      </c>
      <c r="D598" s="4" t="s">
        <v>1351</v>
      </c>
      <c r="E598" s="4" t="s">
        <v>922</v>
      </c>
      <c r="F598" s="4">
        <v>2017</v>
      </c>
      <c r="G598" s="4" t="s">
        <v>1448</v>
      </c>
      <c r="H598" s="6">
        <v>0</v>
      </c>
      <c r="I598" s="6" t="s">
        <v>1515</v>
      </c>
    </row>
    <row r="599" spans="2:9" hidden="1" x14ac:dyDescent="0.25">
      <c r="B599" s="4" t="s">
        <v>1105</v>
      </c>
      <c r="C599" s="4" t="s">
        <v>1396</v>
      </c>
      <c r="D599" s="4" t="s">
        <v>1343</v>
      </c>
      <c r="E599" s="4" t="s">
        <v>1344</v>
      </c>
      <c r="F599" s="4">
        <v>2012</v>
      </c>
      <c r="G599" s="4" t="s">
        <v>1348</v>
      </c>
      <c r="H599" s="6">
        <v>0</v>
      </c>
      <c r="I599" s="6" t="s">
        <v>1515</v>
      </c>
    </row>
    <row r="600" spans="2:9" hidden="1" x14ac:dyDescent="0.25">
      <c r="B600" s="4" t="s">
        <v>1106</v>
      </c>
      <c r="C600" s="4" t="s">
        <v>1106</v>
      </c>
      <c r="D600" s="4" t="s">
        <v>1343</v>
      </c>
      <c r="E600" s="4" t="s">
        <v>1344</v>
      </c>
      <c r="F600" s="4">
        <v>2012</v>
      </c>
      <c r="G600" s="4" t="s">
        <v>1348</v>
      </c>
      <c r="H600" s="6">
        <v>0</v>
      </c>
      <c r="I600" s="6" t="s">
        <v>1515</v>
      </c>
    </row>
    <row r="601" spans="2:9" hidden="1" x14ac:dyDescent="0.25">
      <c r="B601" s="4" t="s">
        <v>1107</v>
      </c>
      <c r="C601" s="4" t="s">
        <v>1107</v>
      </c>
      <c r="D601" s="4" t="s">
        <v>1343</v>
      </c>
      <c r="E601" s="4" t="s">
        <v>1344</v>
      </c>
      <c r="F601" s="4">
        <v>2012</v>
      </c>
      <c r="G601" s="4" t="s">
        <v>1348</v>
      </c>
      <c r="H601" s="6">
        <v>0</v>
      </c>
      <c r="I601" s="6" t="s">
        <v>1515</v>
      </c>
    </row>
    <row r="602" spans="2:9" hidden="1" x14ac:dyDescent="0.25">
      <c r="B602" s="4" t="s">
        <v>1108</v>
      </c>
      <c r="C602" s="4" t="s">
        <v>1270</v>
      </c>
      <c r="D602" s="4" t="s">
        <v>1343</v>
      </c>
      <c r="E602" s="4" t="s">
        <v>1344</v>
      </c>
      <c r="F602" s="4">
        <v>2012</v>
      </c>
      <c r="G602" s="4" t="s">
        <v>1348</v>
      </c>
      <c r="H602" s="6">
        <v>0</v>
      </c>
      <c r="I602" s="6" t="s">
        <v>1515</v>
      </c>
    </row>
    <row r="603" spans="2:9" hidden="1" x14ac:dyDescent="0.25">
      <c r="B603" s="4" t="s">
        <v>1109</v>
      </c>
      <c r="C603" s="4" t="s">
        <v>1345</v>
      </c>
      <c r="D603" s="4" t="s">
        <v>1343</v>
      </c>
      <c r="E603" s="4" t="s">
        <v>1344</v>
      </c>
      <c r="F603" s="4">
        <v>2012</v>
      </c>
      <c r="G603" s="4" t="s">
        <v>1348</v>
      </c>
      <c r="H603" s="6">
        <v>0</v>
      </c>
      <c r="I603" s="6" t="s">
        <v>1515</v>
      </c>
    </row>
    <row r="604" spans="2:9" hidden="1" x14ac:dyDescent="0.25">
      <c r="B604" s="4" t="s">
        <v>1110</v>
      </c>
      <c r="C604" s="4" t="s">
        <v>1271</v>
      </c>
      <c r="D604" s="4" t="s">
        <v>1343</v>
      </c>
      <c r="E604" s="4" t="s">
        <v>1344</v>
      </c>
      <c r="F604" s="4">
        <v>2012</v>
      </c>
      <c r="G604" s="4" t="s">
        <v>1348</v>
      </c>
      <c r="H604" s="6">
        <v>0</v>
      </c>
      <c r="I604" s="6" t="s">
        <v>1515</v>
      </c>
    </row>
    <row r="605" spans="2:9" x14ac:dyDescent="0.25">
      <c r="B605" s="4" t="s">
        <v>1111</v>
      </c>
      <c r="C605" s="4" t="s">
        <v>1346</v>
      </c>
      <c r="D605" s="4" t="s">
        <v>1343</v>
      </c>
      <c r="E605" s="4" t="s">
        <v>1344</v>
      </c>
      <c r="F605" s="4">
        <v>2012</v>
      </c>
      <c r="G605" s="4" t="s">
        <v>1348</v>
      </c>
      <c r="H605" s="6">
        <v>1</v>
      </c>
      <c r="I605" s="6" t="s">
        <v>1515</v>
      </c>
    </row>
    <row r="606" spans="2:9" hidden="1" x14ac:dyDescent="0.25">
      <c r="B606" s="4" t="s">
        <v>1112</v>
      </c>
      <c r="C606" s="4" t="s">
        <v>1272</v>
      </c>
      <c r="D606" s="4" t="s">
        <v>1343</v>
      </c>
      <c r="E606" s="4" t="s">
        <v>1344</v>
      </c>
      <c r="F606" s="4">
        <v>2012</v>
      </c>
      <c r="G606" s="4" t="s">
        <v>1348</v>
      </c>
      <c r="H606" s="6">
        <v>0</v>
      </c>
      <c r="I606" s="6" t="s">
        <v>1515</v>
      </c>
    </row>
    <row r="607" spans="2:9" x14ac:dyDescent="0.25">
      <c r="B607" s="4" t="s">
        <v>1113</v>
      </c>
      <c r="C607" s="4" t="s">
        <v>1347</v>
      </c>
      <c r="D607" s="4" t="s">
        <v>1343</v>
      </c>
      <c r="E607" s="4" t="s">
        <v>1344</v>
      </c>
      <c r="F607" s="4">
        <v>2012</v>
      </c>
      <c r="G607" s="4" t="s">
        <v>1348</v>
      </c>
      <c r="H607" s="6">
        <v>1</v>
      </c>
      <c r="I607" s="6" t="s">
        <v>1515</v>
      </c>
    </row>
    <row r="608" spans="2:9" x14ac:dyDescent="0.25">
      <c r="B608" s="4" t="s">
        <v>1485</v>
      </c>
      <c r="C608" s="4" t="s">
        <v>1486</v>
      </c>
      <c r="D608" s="4" t="s">
        <v>1343</v>
      </c>
      <c r="E608" s="4" t="s">
        <v>1474</v>
      </c>
      <c r="F608" s="4">
        <v>2013</v>
      </c>
      <c r="G608" s="4" t="s">
        <v>1348</v>
      </c>
      <c r="H608" s="6">
        <v>1</v>
      </c>
      <c r="I608" s="6" t="s">
        <v>1515</v>
      </c>
    </row>
    <row r="609" spans="2:9" x14ac:dyDescent="0.25">
      <c r="B609" s="4" t="s">
        <v>1484</v>
      </c>
      <c r="C609" s="4" t="s">
        <v>1487</v>
      </c>
      <c r="D609" s="4" t="s">
        <v>1343</v>
      </c>
      <c r="E609" s="4" t="s">
        <v>1474</v>
      </c>
      <c r="F609" s="4">
        <v>2013</v>
      </c>
      <c r="G609" s="4" t="s">
        <v>1348</v>
      </c>
      <c r="H609" s="6">
        <v>1</v>
      </c>
      <c r="I609" s="6" t="s">
        <v>1515</v>
      </c>
    </row>
    <row r="610" spans="2:9" x14ac:dyDescent="0.25">
      <c r="B610" s="4" t="s">
        <v>1490</v>
      </c>
      <c r="C610" s="4" t="s">
        <v>1488</v>
      </c>
      <c r="D610" s="4" t="s">
        <v>1343</v>
      </c>
      <c r="E610" s="4" t="s">
        <v>1475</v>
      </c>
      <c r="F610" s="4">
        <v>2013</v>
      </c>
      <c r="G610" s="4" t="s">
        <v>1348</v>
      </c>
      <c r="H610" s="6">
        <v>1</v>
      </c>
      <c r="I610" s="6" t="s">
        <v>1515</v>
      </c>
    </row>
    <row r="611" spans="2:9" x14ac:dyDescent="0.25">
      <c r="B611" s="4" t="s">
        <v>1491</v>
      </c>
      <c r="C611" s="4" t="s">
        <v>1489</v>
      </c>
      <c r="D611" s="4" t="s">
        <v>1343</v>
      </c>
      <c r="E611" s="4" t="s">
        <v>1475</v>
      </c>
      <c r="F611" s="4">
        <v>2013</v>
      </c>
      <c r="G611" s="4" t="s">
        <v>1348</v>
      </c>
      <c r="H611" s="6">
        <v>1</v>
      </c>
      <c r="I611" s="6" t="s">
        <v>1515</v>
      </c>
    </row>
    <row r="612" spans="2:9" hidden="1" x14ac:dyDescent="0.25">
      <c r="B612" s="4" t="s">
        <v>1118</v>
      </c>
      <c r="C612" s="4" t="s">
        <v>1254</v>
      </c>
      <c r="D612" s="4" t="s">
        <v>919</v>
      </c>
      <c r="E612" s="4" t="s">
        <v>1253</v>
      </c>
      <c r="F612" s="4">
        <v>2015</v>
      </c>
      <c r="G612" s="4" t="s">
        <v>901</v>
      </c>
      <c r="H612" s="6">
        <v>0</v>
      </c>
      <c r="I612" s="6" t="s">
        <v>97</v>
      </c>
    </row>
    <row r="613" spans="2:9" hidden="1" x14ac:dyDescent="0.25">
      <c r="B613" s="4" t="s">
        <v>1119</v>
      </c>
      <c r="C613" s="4" t="s">
        <v>1255</v>
      </c>
      <c r="D613" s="4" t="s">
        <v>919</v>
      </c>
      <c r="E613" s="4" t="s">
        <v>1253</v>
      </c>
      <c r="F613" s="4">
        <v>2015</v>
      </c>
      <c r="G613" s="4" t="s">
        <v>901</v>
      </c>
      <c r="H613" s="6">
        <v>0</v>
      </c>
      <c r="I613" s="6" t="s">
        <v>97</v>
      </c>
    </row>
    <row r="614" spans="2:9" x14ac:dyDescent="0.25">
      <c r="B614" s="4" t="s">
        <v>950</v>
      </c>
      <c r="C614" s="4" t="s">
        <v>1157</v>
      </c>
      <c r="D614" s="4" t="s">
        <v>919</v>
      </c>
      <c r="E614" s="4" t="s">
        <v>1224</v>
      </c>
      <c r="F614" s="4">
        <v>2015</v>
      </c>
      <c r="G614" s="4" t="s">
        <v>901</v>
      </c>
      <c r="H614" s="6">
        <v>1</v>
      </c>
      <c r="I614" s="6" t="s">
        <v>97</v>
      </c>
    </row>
    <row r="615" spans="2:9" x14ac:dyDescent="0.25">
      <c r="B615" s="4" t="s">
        <v>951</v>
      </c>
      <c r="C615" s="4" t="s">
        <v>1158</v>
      </c>
      <c r="D615" s="4" t="s">
        <v>919</v>
      </c>
      <c r="E615" s="4" t="s">
        <v>1265</v>
      </c>
      <c r="F615" s="4">
        <v>2015</v>
      </c>
      <c r="G615" s="4" t="s">
        <v>901</v>
      </c>
      <c r="H615" s="6">
        <v>1</v>
      </c>
      <c r="I615" s="6" t="s">
        <v>97</v>
      </c>
    </row>
    <row r="616" spans="2:9" x14ac:dyDescent="0.25">
      <c r="B616" s="4" t="s">
        <v>1352</v>
      </c>
      <c r="C616" s="4" t="s">
        <v>1230</v>
      </c>
      <c r="D616" s="4" t="s">
        <v>919</v>
      </c>
      <c r="E616" s="4" t="s">
        <v>920</v>
      </c>
      <c r="F616" s="4">
        <v>2015</v>
      </c>
      <c r="G616" s="4" t="s">
        <v>901</v>
      </c>
      <c r="H616" s="6">
        <v>1</v>
      </c>
      <c r="I616" s="6" t="s">
        <v>97</v>
      </c>
    </row>
    <row r="617" spans="2:9" x14ac:dyDescent="0.25">
      <c r="B617" s="4" t="s">
        <v>952</v>
      </c>
      <c r="C617" s="4" t="s">
        <v>1159</v>
      </c>
      <c r="D617" s="4" t="s">
        <v>919</v>
      </c>
      <c r="E617" s="4" t="s">
        <v>1226</v>
      </c>
      <c r="F617" s="4">
        <v>2015</v>
      </c>
      <c r="G617" s="4" t="s">
        <v>901</v>
      </c>
      <c r="H617" s="6">
        <v>1</v>
      </c>
      <c r="I617" s="6" t="s">
        <v>97</v>
      </c>
    </row>
    <row r="618" spans="2:9" hidden="1" x14ac:dyDescent="0.25">
      <c r="B618" s="4" t="s">
        <v>1120</v>
      </c>
      <c r="C618" s="4" t="s">
        <v>1389</v>
      </c>
      <c r="D618" s="4" t="s">
        <v>919</v>
      </c>
      <c r="E618" s="4" t="s">
        <v>1253</v>
      </c>
      <c r="F618" s="4">
        <v>2015</v>
      </c>
      <c r="G618" s="4" t="s">
        <v>901</v>
      </c>
      <c r="H618" s="6">
        <v>0</v>
      </c>
      <c r="I618" s="6" t="s">
        <v>97</v>
      </c>
    </row>
    <row r="619" spans="2:9" hidden="1" x14ac:dyDescent="0.25">
      <c r="B619" s="4" t="s">
        <v>1121</v>
      </c>
      <c r="C619" s="4" t="s">
        <v>1390</v>
      </c>
      <c r="D619" s="4" t="s">
        <v>919</v>
      </c>
      <c r="E619" s="4" t="s">
        <v>1253</v>
      </c>
      <c r="F619" s="4">
        <v>2015</v>
      </c>
      <c r="G619" s="4" t="s">
        <v>901</v>
      </c>
      <c r="H619" s="6">
        <v>0</v>
      </c>
      <c r="I619" s="6" t="s">
        <v>97</v>
      </c>
    </row>
    <row r="620" spans="2:9" x14ac:dyDescent="0.25">
      <c r="B620" s="4" t="s">
        <v>953</v>
      </c>
      <c r="C620" s="4" t="s">
        <v>953</v>
      </c>
      <c r="D620" s="4" t="s">
        <v>919</v>
      </c>
      <c r="E620" s="4" t="s">
        <v>1610</v>
      </c>
      <c r="F620" s="4">
        <v>2015</v>
      </c>
      <c r="G620" s="4" t="s">
        <v>901</v>
      </c>
      <c r="H620" s="6">
        <v>1</v>
      </c>
      <c r="I620" s="6" t="s">
        <v>97</v>
      </c>
    </row>
    <row r="621" spans="2:9" x14ac:dyDescent="0.25">
      <c r="B621" s="4" t="s">
        <v>954</v>
      </c>
      <c r="C621" s="4" t="s">
        <v>1261</v>
      </c>
      <c r="D621" s="4" t="s">
        <v>919</v>
      </c>
      <c r="E621" s="4" t="s">
        <v>1259</v>
      </c>
      <c r="F621" s="4">
        <v>2015</v>
      </c>
      <c r="G621" s="4" t="s">
        <v>901</v>
      </c>
      <c r="H621" s="6">
        <v>1</v>
      </c>
      <c r="I621" s="6" t="s">
        <v>97</v>
      </c>
    </row>
    <row r="622" spans="2:9" hidden="1" x14ac:dyDescent="0.25">
      <c r="B622" s="4" t="s">
        <v>955</v>
      </c>
      <c r="C622" s="4" t="s">
        <v>1250</v>
      </c>
      <c r="D622" s="4" t="s">
        <v>919</v>
      </c>
      <c r="E622" s="4" t="s">
        <v>1610</v>
      </c>
      <c r="F622" s="4">
        <v>2015</v>
      </c>
      <c r="G622" s="4" t="s">
        <v>901</v>
      </c>
      <c r="H622" s="6">
        <v>0</v>
      </c>
      <c r="I622" s="6" t="s">
        <v>97</v>
      </c>
    </row>
    <row r="623" spans="2:9" hidden="1" x14ac:dyDescent="0.25">
      <c r="B623" s="4" t="s">
        <v>956</v>
      </c>
      <c r="C623" s="4" t="s">
        <v>1160</v>
      </c>
      <c r="D623" s="4" t="s">
        <v>919</v>
      </c>
      <c r="E623" s="4" t="s">
        <v>1388</v>
      </c>
      <c r="F623" s="4">
        <v>2015</v>
      </c>
      <c r="G623" s="4" t="s">
        <v>901</v>
      </c>
      <c r="H623" s="6">
        <v>0</v>
      </c>
      <c r="I623" s="6" t="s">
        <v>97</v>
      </c>
    </row>
    <row r="624" spans="2:9" hidden="1" x14ac:dyDescent="0.25">
      <c r="B624" s="4" t="s">
        <v>957</v>
      </c>
      <c r="C624" s="4" t="s">
        <v>1238</v>
      </c>
      <c r="D624" s="4" t="s">
        <v>919</v>
      </c>
      <c r="E624" s="4" t="s">
        <v>1388</v>
      </c>
      <c r="F624" s="4">
        <v>2015</v>
      </c>
      <c r="G624" s="4" t="s">
        <v>901</v>
      </c>
      <c r="H624" s="6">
        <v>0</v>
      </c>
      <c r="I624" s="6" t="s">
        <v>97</v>
      </c>
    </row>
    <row r="625" spans="2:9" hidden="1" x14ac:dyDescent="0.25">
      <c r="B625" s="4" t="s">
        <v>958</v>
      </c>
      <c r="C625" s="4" t="s">
        <v>1161</v>
      </c>
      <c r="D625" s="4" t="s">
        <v>919</v>
      </c>
      <c r="E625" s="4" t="s">
        <v>1224</v>
      </c>
      <c r="F625" s="4">
        <v>2015</v>
      </c>
      <c r="G625" s="4" t="s">
        <v>901</v>
      </c>
      <c r="H625" s="6">
        <v>0</v>
      </c>
      <c r="I625" s="6" t="s">
        <v>97</v>
      </c>
    </row>
    <row r="626" spans="2:9" hidden="1" x14ac:dyDescent="0.25">
      <c r="B626" s="4" t="s">
        <v>959</v>
      </c>
      <c r="C626" s="4" t="s">
        <v>1257</v>
      </c>
      <c r="D626" s="4" t="s">
        <v>919</v>
      </c>
      <c r="E626" s="4" t="s">
        <v>1253</v>
      </c>
      <c r="F626" s="4">
        <v>2015</v>
      </c>
      <c r="G626" s="4" t="s">
        <v>901</v>
      </c>
      <c r="H626" s="6">
        <v>0</v>
      </c>
      <c r="I626" s="6" t="s">
        <v>97</v>
      </c>
    </row>
    <row r="627" spans="2:9" x14ac:dyDescent="0.25">
      <c r="B627" s="4" t="s">
        <v>960</v>
      </c>
      <c r="C627" s="4" t="s">
        <v>1258</v>
      </c>
      <c r="D627" s="4" t="s">
        <v>1236</v>
      </c>
      <c r="E627" s="4" t="s">
        <v>1651</v>
      </c>
      <c r="F627" s="4">
        <v>2015</v>
      </c>
      <c r="G627" s="4" t="s">
        <v>901</v>
      </c>
      <c r="H627" s="6">
        <v>1</v>
      </c>
      <c r="I627" s="6" t="s">
        <v>97</v>
      </c>
    </row>
    <row r="628" spans="2:9" hidden="1" x14ac:dyDescent="0.25">
      <c r="B628" s="4" t="s">
        <v>961</v>
      </c>
      <c r="C628" s="4" t="s">
        <v>1262</v>
      </c>
      <c r="D628" s="4" t="s">
        <v>919</v>
      </c>
      <c r="E628" s="4" t="s">
        <v>1259</v>
      </c>
      <c r="F628" s="4">
        <v>2015</v>
      </c>
      <c r="G628" s="4" t="s">
        <v>901</v>
      </c>
      <c r="H628" s="6">
        <v>0</v>
      </c>
      <c r="I628" s="6" t="s">
        <v>97</v>
      </c>
    </row>
    <row r="629" spans="2:9" x14ac:dyDescent="0.25">
      <c r="B629" s="4" t="s">
        <v>1122</v>
      </c>
      <c r="C629" s="4" t="s">
        <v>1752</v>
      </c>
      <c r="D629" s="4" t="s">
        <v>919</v>
      </c>
      <c r="E629" s="4" t="s">
        <v>920</v>
      </c>
      <c r="F629" s="4">
        <v>2015</v>
      </c>
      <c r="G629" s="4" t="s">
        <v>901</v>
      </c>
      <c r="H629" s="6">
        <v>1</v>
      </c>
      <c r="I629" s="6" t="s">
        <v>97</v>
      </c>
    </row>
    <row r="630" spans="2:9" x14ac:dyDescent="0.25">
      <c r="B630" s="4" t="s">
        <v>962</v>
      </c>
      <c r="C630" s="4" t="s">
        <v>1162</v>
      </c>
      <c r="D630" s="4" t="s">
        <v>919</v>
      </c>
      <c r="E630" s="4" t="s">
        <v>1259</v>
      </c>
      <c r="F630" s="4">
        <v>2015</v>
      </c>
      <c r="G630" s="4" t="s">
        <v>901</v>
      </c>
      <c r="H630" s="6">
        <v>1</v>
      </c>
      <c r="I630" s="6" t="s">
        <v>97</v>
      </c>
    </row>
    <row r="631" spans="2:9" hidden="1" x14ac:dyDescent="0.25">
      <c r="B631" s="4" t="s">
        <v>963</v>
      </c>
      <c r="C631" s="4" t="s">
        <v>1231</v>
      </c>
      <c r="D631" s="4" t="s">
        <v>919</v>
      </c>
      <c r="E631" s="4" t="s">
        <v>920</v>
      </c>
      <c r="F631" s="4">
        <v>2015</v>
      </c>
      <c r="G631" s="4" t="s">
        <v>901</v>
      </c>
      <c r="H631" s="6">
        <v>0</v>
      </c>
      <c r="I631" s="6" t="s">
        <v>97</v>
      </c>
    </row>
    <row r="632" spans="2:9" x14ac:dyDescent="0.25">
      <c r="B632" s="4" t="s">
        <v>964</v>
      </c>
      <c r="C632" s="4" t="s">
        <v>1163</v>
      </c>
      <c r="D632" s="4" t="s">
        <v>919</v>
      </c>
      <c r="E632" s="4" t="s">
        <v>920</v>
      </c>
      <c r="F632" s="4">
        <v>2015</v>
      </c>
      <c r="G632" s="4" t="s">
        <v>901</v>
      </c>
      <c r="H632" s="6">
        <v>1</v>
      </c>
      <c r="I632" s="6" t="s">
        <v>97</v>
      </c>
    </row>
    <row r="633" spans="2:9" hidden="1" x14ac:dyDescent="0.25">
      <c r="B633" s="4" t="s">
        <v>965</v>
      </c>
      <c r="C633" s="4" t="s">
        <v>1263</v>
      </c>
      <c r="D633" s="4" t="s">
        <v>919</v>
      </c>
      <c r="E633" s="4" t="s">
        <v>1259</v>
      </c>
      <c r="F633" s="4">
        <v>2015</v>
      </c>
      <c r="G633" s="4" t="s">
        <v>901</v>
      </c>
      <c r="H633" s="6">
        <v>0</v>
      </c>
      <c r="I633" s="6" t="s">
        <v>97</v>
      </c>
    </row>
    <row r="634" spans="2:9" x14ac:dyDescent="0.25">
      <c r="B634" s="4" t="s">
        <v>10</v>
      </c>
      <c r="C634" s="4" t="s">
        <v>10</v>
      </c>
      <c r="D634" s="4" t="s">
        <v>919</v>
      </c>
      <c r="E634" s="4" t="s">
        <v>920</v>
      </c>
      <c r="F634" s="4">
        <v>2015</v>
      </c>
      <c r="G634" s="4" t="s">
        <v>901</v>
      </c>
      <c r="H634" s="6">
        <v>1</v>
      </c>
      <c r="I634" s="6" t="s">
        <v>97</v>
      </c>
    </row>
    <row r="635" spans="2:9" hidden="1" x14ac:dyDescent="0.25">
      <c r="B635" s="4" t="s">
        <v>966</v>
      </c>
      <c r="C635" s="4" t="s">
        <v>966</v>
      </c>
      <c r="D635" s="4" t="s">
        <v>919</v>
      </c>
      <c r="E635" s="4" t="s">
        <v>1259</v>
      </c>
      <c r="F635" s="4">
        <v>2015</v>
      </c>
      <c r="G635" s="4" t="s">
        <v>901</v>
      </c>
      <c r="H635" s="6">
        <v>0</v>
      </c>
      <c r="I635" s="6" t="s">
        <v>97</v>
      </c>
    </row>
    <row r="636" spans="2:9" x14ac:dyDescent="0.25">
      <c r="B636" s="4" t="s">
        <v>967</v>
      </c>
      <c r="C636" s="4" t="s">
        <v>967</v>
      </c>
      <c r="D636" s="4" t="s">
        <v>919</v>
      </c>
      <c r="E636" s="4" t="s">
        <v>1259</v>
      </c>
      <c r="F636" s="4">
        <v>2015</v>
      </c>
      <c r="G636" s="4" t="s">
        <v>901</v>
      </c>
      <c r="H636" s="6">
        <v>1</v>
      </c>
      <c r="I636" s="6" t="s">
        <v>97</v>
      </c>
    </row>
    <row r="637" spans="2:9" x14ac:dyDescent="0.25">
      <c r="B637" s="4" t="s">
        <v>968</v>
      </c>
      <c r="C637" s="4" t="s">
        <v>1164</v>
      </c>
      <c r="D637" s="4" t="s">
        <v>919</v>
      </c>
      <c r="E637" s="4" t="s">
        <v>1226</v>
      </c>
      <c r="F637" s="4">
        <v>2015</v>
      </c>
      <c r="G637" s="4" t="s">
        <v>901</v>
      </c>
      <c r="H637" s="6">
        <v>1</v>
      </c>
      <c r="I637" s="6" t="s">
        <v>97</v>
      </c>
    </row>
    <row r="638" spans="2:9" hidden="1" x14ac:dyDescent="0.25">
      <c r="B638" s="4" t="s">
        <v>1123</v>
      </c>
      <c r="C638" s="4" t="s">
        <v>1391</v>
      </c>
      <c r="D638" s="4" t="s">
        <v>919</v>
      </c>
      <c r="E638" s="4" t="s">
        <v>1253</v>
      </c>
      <c r="F638" s="4">
        <v>2015</v>
      </c>
      <c r="G638" s="4" t="s">
        <v>901</v>
      </c>
      <c r="H638" s="6">
        <v>0</v>
      </c>
      <c r="I638" s="6" t="s">
        <v>97</v>
      </c>
    </row>
    <row r="639" spans="2:9" x14ac:dyDescent="0.25">
      <c r="B639" s="4" t="s">
        <v>969</v>
      </c>
      <c r="C639" s="4" t="s">
        <v>1267</v>
      </c>
      <c r="D639" s="4" t="s">
        <v>919</v>
      </c>
      <c r="E639" s="4" t="s">
        <v>1265</v>
      </c>
      <c r="F639" s="4">
        <v>2015</v>
      </c>
      <c r="G639" s="4" t="s">
        <v>901</v>
      </c>
      <c r="H639" s="6">
        <v>1</v>
      </c>
      <c r="I639" s="6" t="s">
        <v>97</v>
      </c>
    </row>
    <row r="640" spans="2:9" x14ac:dyDescent="0.25">
      <c r="B640" s="4" t="s">
        <v>1124</v>
      </c>
      <c r="C640" s="4" t="s">
        <v>1753</v>
      </c>
      <c r="D640" s="4" t="s">
        <v>919</v>
      </c>
      <c r="E640" s="4" t="s">
        <v>1253</v>
      </c>
      <c r="F640" s="4">
        <v>2015</v>
      </c>
      <c r="G640" s="4" t="s">
        <v>901</v>
      </c>
      <c r="H640" s="6">
        <v>1</v>
      </c>
      <c r="I640" s="6" t="s">
        <v>97</v>
      </c>
    </row>
    <row r="641" spans="2:9" hidden="1" x14ac:dyDescent="0.25">
      <c r="B641" s="4" t="s">
        <v>1354</v>
      </c>
      <c r="C641" s="4" t="s">
        <v>1392</v>
      </c>
      <c r="D641" s="4" t="s">
        <v>919</v>
      </c>
      <c r="E641" s="4" t="s">
        <v>1224</v>
      </c>
      <c r="F641" s="4">
        <v>2015</v>
      </c>
      <c r="G641" s="4" t="s">
        <v>901</v>
      </c>
      <c r="H641" s="6">
        <v>0</v>
      </c>
      <c r="I641" s="6" t="s">
        <v>97</v>
      </c>
    </row>
    <row r="642" spans="2:9" x14ac:dyDescent="0.25">
      <c r="B642" s="4" t="s">
        <v>430</v>
      </c>
      <c r="C642" s="4" t="s">
        <v>1240</v>
      </c>
      <c r="D642" s="4" t="s">
        <v>919</v>
      </c>
      <c r="E642" s="4" t="s">
        <v>1610</v>
      </c>
      <c r="F642" s="4">
        <v>2015</v>
      </c>
      <c r="G642" s="4" t="s">
        <v>901</v>
      </c>
      <c r="H642" s="6">
        <v>1</v>
      </c>
      <c r="I642" s="6" t="s">
        <v>97</v>
      </c>
    </row>
    <row r="643" spans="2:9" hidden="1" x14ac:dyDescent="0.25">
      <c r="B643" s="4" t="s">
        <v>970</v>
      </c>
      <c r="C643" s="4" t="s">
        <v>1165</v>
      </c>
      <c r="D643" s="4" t="s">
        <v>919</v>
      </c>
      <c r="E643" s="4" t="s">
        <v>1224</v>
      </c>
      <c r="F643" s="4">
        <v>2015</v>
      </c>
      <c r="G643" s="4" t="s">
        <v>901</v>
      </c>
      <c r="H643" s="6">
        <v>0</v>
      </c>
      <c r="I643" s="6" t="s">
        <v>97</v>
      </c>
    </row>
    <row r="644" spans="2:9" hidden="1" x14ac:dyDescent="0.25">
      <c r="B644" s="4" t="s">
        <v>1125</v>
      </c>
      <c r="C644" s="4" t="s">
        <v>1393</v>
      </c>
      <c r="D644" s="4" t="s">
        <v>919</v>
      </c>
      <c r="E644" s="4" t="s">
        <v>1224</v>
      </c>
      <c r="F644" s="4">
        <v>2015</v>
      </c>
      <c r="G644" s="4" t="s">
        <v>901</v>
      </c>
      <c r="H644" s="6">
        <v>0</v>
      </c>
      <c r="I644" s="6" t="s">
        <v>97</v>
      </c>
    </row>
    <row r="645" spans="2:9" hidden="1" x14ac:dyDescent="0.25">
      <c r="B645" s="4" t="s">
        <v>971</v>
      </c>
      <c r="C645" s="4" t="s">
        <v>1241</v>
      </c>
      <c r="D645" s="4" t="s">
        <v>919</v>
      </c>
      <c r="E645" s="4" t="s">
        <v>1610</v>
      </c>
      <c r="F645" s="4">
        <v>2015</v>
      </c>
      <c r="G645" s="4" t="s">
        <v>901</v>
      </c>
      <c r="H645" s="6">
        <v>0</v>
      </c>
      <c r="I645" s="6" t="s">
        <v>97</v>
      </c>
    </row>
    <row r="646" spans="2:9" hidden="1" x14ac:dyDescent="0.25">
      <c r="B646" s="4" t="s">
        <v>1126</v>
      </c>
      <c r="C646" s="4" t="s">
        <v>1394</v>
      </c>
      <c r="D646" s="4" t="s">
        <v>919</v>
      </c>
      <c r="E646" s="4" t="s">
        <v>1253</v>
      </c>
      <c r="F646" s="4">
        <v>2015</v>
      </c>
      <c r="G646" s="4" t="s">
        <v>901</v>
      </c>
      <c r="H646" s="6">
        <v>0</v>
      </c>
      <c r="I646" s="6" t="s">
        <v>97</v>
      </c>
    </row>
    <row r="647" spans="2:9" hidden="1" x14ac:dyDescent="0.25">
      <c r="B647" s="4" t="s">
        <v>972</v>
      </c>
      <c r="C647" s="4" t="s">
        <v>1260</v>
      </c>
      <c r="D647" s="4" t="s">
        <v>919</v>
      </c>
      <c r="E647" s="4" t="s">
        <v>1259</v>
      </c>
      <c r="F647" s="4">
        <v>2015</v>
      </c>
      <c r="G647" s="4" t="s">
        <v>901</v>
      </c>
      <c r="H647" s="6">
        <v>0</v>
      </c>
      <c r="I647" s="6" t="s">
        <v>97</v>
      </c>
    </row>
    <row r="648" spans="2:9" x14ac:dyDescent="0.25">
      <c r="B648" s="4" t="s">
        <v>431</v>
      </c>
      <c r="C648" s="4" t="s">
        <v>1249</v>
      </c>
      <c r="D648" s="4" t="s">
        <v>919</v>
      </c>
      <c r="E648" s="4" t="s">
        <v>1610</v>
      </c>
      <c r="F648" s="4">
        <v>2015</v>
      </c>
      <c r="G648" s="4" t="s">
        <v>901</v>
      </c>
      <c r="H648" s="6">
        <v>1</v>
      </c>
      <c r="I648" s="6" t="s">
        <v>97</v>
      </c>
    </row>
    <row r="649" spans="2:9" x14ac:dyDescent="0.25">
      <c r="B649" s="4" t="s">
        <v>11</v>
      </c>
      <c r="C649" s="4" t="s">
        <v>1422</v>
      </c>
      <c r="D649" s="4" t="s">
        <v>919</v>
      </c>
      <c r="E649" s="4" t="s">
        <v>1264</v>
      </c>
      <c r="F649" s="4">
        <v>2015</v>
      </c>
      <c r="G649" s="4" t="s">
        <v>901</v>
      </c>
      <c r="H649" s="6">
        <v>1</v>
      </c>
      <c r="I649" s="6" t="s">
        <v>97</v>
      </c>
    </row>
    <row r="650" spans="2:9" hidden="1" x14ac:dyDescent="0.25">
      <c r="B650" s="4" t="s">
        <v>1355</v>
      </c>
      <c r="C650" s="4" t="s">
        <v>1421</v>
      </c>
      <c r="D650" s="4" t="s">
        <v>919</v>
      </c>
      <c r="E650" s="4" t="s">
        <v>1388</v>
      </c>
      <c r="F650" s="4">
        <v>2015</v>
      </c>
      <c r="G650" s="4" t="s">
        <v>901</v>
      </c>
      <c r="H650" s="6">
        <v>0</v>
      </c>
      <c r="I650" s="6" t="s">
        <v>97</v>
      </c>
    </row>
    <row r="651" spans="2:9" hidden="1" x14ac:dyDescent="0.25">
      <c r="B651" s="4" t="s">
        <v>1356</v>
      </c>
      <c r="C651" s="4" t="s">
        <v>1420</v>
      </c>
      <c r="D651" s="4" t="s">
        <v>919</v>
      </c>
      <c r="E651" s="4" t="s">
        <v>1388</v>
      </c>
      <c r="F651" s="4">
        <v>2015</v>
      </c>
      <c r="G651" s="4" t="s">
        <v>901</v>
      </c>
      <c r="H651" s="6">
        <v>0</v>
      </c>
      <c r="I651" s="6" t="s">
        <v>97</v>
      </c>
    </row>
    <row r="652" spans="2:9" x14ac:dyDescent="0.25">
      <c r="B652" s="4" t="s">
        <v>432</v>
      </c>
      <c r="C652" s="4" t="s">
        <v>1408</v>
      </c>
      <c r="D652" s="4" t="s">
        <v>919</v>
      </c>
      <c r="E652" s="4" t="s">
        <v>920</v>
      </c>
      <c r="F652" s="4">
        <v>2015</v>
      </c>
      <c r="G652" s="4" t="s">
        <v>901</v>
      </c>
      <c r="H652" s="6">
        <v>1</v>
      </c>
      <c r="I652" s="6" t="s">
        <v>97</v>
      </c>
    </row>
    <row r="653" spans="2:9" x14ac:dyDescent="0.25">
      <c r="B653" s="4" t="s">
        <v>12</v>
      </c>
      <c r="C653" s="4" t="s">
        <v>1237</v>
      </c>
      <c r="D653" s="4" t="s">
        <v>919</v>
      </c>
      <c r="E653" s="4" t="s">
        <v>1388</v>
      </c>
      <c r="F653" s="4">
        <v>2015</v>
      </c>
      <c r="G653" s="4" t="s">
        <v>901</v>
      </c>
      <c r="H653" s="6">
        <v>1</v>
      </c>
      <c r="I653" s="6" t="s">
        <v>97</v>
      </c>
    </row>
    <row r="654" spans="2:9" x14ac:dyDescent="0.25">
      <c r="B654" s="4" t="s">
        <v>1357</v>
      </c>
      <c r="C654" s="4" t="s">
        <v>1166</v>
      </c>
      <c r="D654" s="4" t="s">
        <v>919</v>
      </c>
      <c r="E654" s="4" t="s">
        <v>1223</v>
      </c>
      <c r="F654" s="4">
        <v>2015</v>
      </c>
      <c r="G654" s="4" t="s">
        <v>901</v>
      </c>
      <c r="H654" s="6">
        <v>1</v>
      </c>
      <c r="I654" s="6" t="s">
        <v>97</v>
      </c>
    </row>
    <row r="655" spans="2:9" x14ac:dyDescent="0.25">
      <c r="B655" s="4" t="s">
        <v>973</v>
      </c>
      <c r="C655" s="4" t="s">
        <v>973</v>
      </c>
      <c r="D655" s="4" t="s">
        <v>919</v>
      </c>
      <c r="E655" s="4" t="s">
        <v>1264</v>
      </c>
      <c r="F655" s="4">
        <v>2015</v>
      </c>
      <c r="G655" s="4" t="s">
        <v>901</v>
      </c>
      <c r="H655" s="6">
        <v>1</v>
      </c>
      <c r="I655" s="6" t="s">
        <v>97</v>
      </c>
    </row>
    <row r="656" spans="2:9" hidden="1" x14ac:dyDescent="0.25">
      <c r="B656" s="4" t="s">
        <v>1353</v>
      </c>
      <c r="C656" s="4" t="s">
        <v>1227</v>
      </c>
      <c r="D656" s="4" t="s">
        <v>919</v>
      </c>
      <c r="E656" s="4" t="s">
        <v>920</v>
      </c>
      <c r="F656" s="4">
        <v>2015</v>
      </c>
      <c r="G656" s="4" t="s">
        <v>901</v>
      </c>
      <c r="H656" s="6">
        <v>0</v>
      </c>
      <c r="I656" s="6" t="s">
        <v>97</v>
      </c>
    </row>
    <row r="657" spans="2:9" x14ac:dyDescent="0.25">
      <c r="B657" s="4" t="s">
        <v>1358</v>
      </c>
      <c r="C657" s="4" t="s">
        <v>1754</v>
      </c>
      <c r="D657" s="4" t="s">
        <v>919</v>
      </c>
      <c r="E657" s="4" t="s">
        <v>1223</v>
      </c>
      <c r="F657" s="4">
        <v>2015</v>
      </c>
      <c r="G657" s="4" t="s">
        <v>901</v>
      </c>
      <c r="H657" s="6">
        <v>1</v>
      </c>
      <c r="I657" s="6" t="s">
        <v>97</v>
      </c>
    </row>
    <row r="658" spans="2:9" hidden="1" x14ac:dyDescent="0.25">
      <c r="B658" s="4" t="s">
        <v>974</v>
      </c>
      <c r="C658" s="4" t="s">
        <v>974</v>
      </c>
      <c r="D658" s="4" t="s">
        <v>919</v>
      </c>
      <c r="E658" s="4" t="s">
        <v>1610</v>
      </c>
      <c r="F658" s="4">
        <v>2015</v>
      </c>
      <c r="G658" s="4" t="s">
        <v>901</v>
      </c>
      <c r="H658" s="6">
        <v>0</v>
      </c>
      <c r="I658" s="6" t="s">
        <v>97</v>
      </c>
    </row>
    <row r="659" spans="2:9" hidden="1" x14ac:dyDescent="0.25">
      <c r="B659" s="4" t="s">
        <v>1359</v>
      </c>
      <c r="C659" s="4" t="s">
        <v>1167</v>
      </c>
      <c r="D659" s="4" t="s">
        <v>919</v>
      </c>
      <c r="E659" s="4" t="s">
        <v>1223</v>
      </c>
      <c r="F659" s="4">
        <v>2015</v>
      </c>
      <c r="G659" s="4" t="s">
        <v>901</v>
      </c>
      <c r="H659" s="6">
        <v>0</v>
      </c>
      <c r="I659" s="6" t="s">
        <v>97</v>
      </c>
    </row>
    <row r="660" spans="2:9" hidden="1" x14ac:dyDescent="0.25">
      <c r="B660" s="4" t="s">
        <v>1360</v>
      </c>
      <c r="C660" s="4" t="s">
        <v>1168</v>
      </c>
      <c r="D660" s="4" t="s">
        <v>919</v>
      </c>
      <c r="E660" s="4" t="s">
        <v>1223</v>
      </c>
      <c r="F660" s="4">
        <v>2015</v>
      </c>
      <c r="G660" s="4" t="s">
        <v>901</v>
      </c>
      <c r="H660" s="6">
        <v>0</v>
      </c>
      <c r="I660" s="6" t="s">
        <v>97</v>
      </c>
    </row>
    <row r="661" spans="2:9" hidden="1" x14ac:dyDescent="0.25">
      <c r="B661" s="4" t="s">
        <v>1361</v>
      </c>
      <c r="C661" s="4" t="s">
        <v>1169</v>
      </c>
      <c r="D661" s="4" t="s">
        <v>919</v>
      </c>
      <c r="E661" s="4" t="s">
        <v>1223</v>
      </c>
      <c r="F661" s="4">
        <v>2015</v>
      </c>
      <c r="G661" s="4" t="s">
        <v>901</v>
      </c>
      <c r="H661" s="6">
        <v>0</v>
      </c>
      <c r="I661" s="6" t="s">
        <v>97</v>
      </c>
    </row>
    <row r="662" spans="2:9" hidden="1" x14ac:dyDescent="0.25">
      <c r="B662" s="4" t="s">
        <v>975</v>
      </c>
      <c r="C662" s="4" t="s">
        <v>1170</v>
      </c>
      <c r="D662" s="4" t="s">
        <v>919</v>
      </c>
      <c r="E662" s="4" t="s">
        <v>920</v>
      </c>
      <c r="F662" s="4">
        <v>2015</v>
      </c>
      <c r="G662" s="4" t="s">
        <v>901</v>
      </c>
      <c r="H662" s="6">
        <v>0</v>
      </c>
      <c r="I662" s="6" t="s">
        <v>97</v>
      </c>
    </row>
    <row r="663" spans="2:9" hidden="1" x14ac:dyDescent="0.25">
      <c r="B663" s="4" t="s">
        <v>976</v>
      </c>
      <c r="C663" s="4" t="s">
        <v>1171</v>
      </c>
      <c r="D663" s="4" t="s">
        <v>919</v>
      </c>
      <c r="E663" s="4" t="s">
        <v>920</v>
      </c>
      <c r="F663" s="4">
        <v>2015</v>
      </c>
      <c r="G663" s="4" t="s">
        <v>901</v>
      </c>
      <c r="H663" s="6">
        <v>0</v>
      </c>
      <c r="I663" s="6" t="s">
        <v>97</v>
      </c>
    </row>
    <row r="664" spans="2:9" hidden="1" x14ac:dyDescent="0.25">
      <c r="B664" s="4" t="s">
        <v>1127</v>
      </c>
      <c r="C664" s="4" t="s">
        <v>1642</v>
      </c>
      <c r="D664" s="4" t="s">
        <v>919</v>
      </c>
      <c r="E664" s="4" t="s">
        <v>1388</v>
      </c>
      <c r="F664" s="4">
        <v>2015</v>
      </c>
      <c r="G664" s="4" t="s">
        <v>901</v>
      </c>
      <c r="H664" s="6">
        <v>0</v>
      </c>
      <c r="I664" s="6" t="s">
        <v>97</v>
      </c>
    </row>
    <row r="665" spans="2:9" hidden="1" x14ac:dyDescent="0.25">
      <c r="B665" s="4" t="s">
        <v>1128</v>
      </c>
      <c r="C665" s="4" t="s">
        <v>1643</v>
      </c>
      <c r="D665" s="4" t="s">
        <v>919</v>
      </c>
      <c r="E665" s="4" t="s">
        <v>1253</v>
      </c>
      <c r="F665" s="4">
        <v>2015</v>
      </c>
      <c r="G665" s="4" t="s">
        <v>901</v>
      </c>
      <c r="H665" s="6">
        <v>0</v>
      </c>
      <c r="I665" s="6" t="s">
        <v>97</v>
      </c>
    </row>
    <row r="666" spans="2:9" hidden="1" x14ac:dyDescent="0.25">
      <c r="B666" s="4" t="s">
        <v>1129</v>
      </c>
      <c r="C666" s="4" t="s">
        <v>1419</v>
      </c>
      <c r="D666" s="4" t="s">
        <v>919</v>
      </c>
      <c r="E666" s="4" t="s">
        <v>1253</v>
      </c>
      <c r="F666" s="4">
        <v>2015</v>
      </c>
      <c r="G666" s="4" t="s">
        <v>901</v>
      </c>
      <c r="H666" s="6">
        <v>0</v>
      </c>
      <c r="I666" s="6" t="s">
        <v>97</v>
      </c>
    </row>
    <row r="667" spans="2:9" hidden="1" x14ac:dyDescent="0.25">
      <c r="B667" s="4" t="s">
        <v>977</v>
      </c>
      <c r="C667" s="4" t="s">
        <v>1644</v>
      </c>
      <c r="D667" s="4" t="s">
        <v>919</v>
      </c>
      <c r="E667" s="4" t="s">
        <v>1388</v>
      </c>
      <c r="F667" s="4">
        <v>2015</v>
      </c>
      <c r="G667" s="4" t="s">
        <v>901</v>
      </c>
      <c r="H667" s="6">
        <v>0</v>
      </c>
      <c r="I667" s="6" t="s">
        <v>97</v>
      </c>
    </row>
    <row r="668" spans="2:9" hidden="1" x14ac:dyDescent="0.25">
      <c r="B668" s="4" t="s">
        <v>1362</v>
      </c>
      <c r="C668" s="4" t="s">
        <v>1645</v>
      </c>
      <c r="D668" s="4" t="s">
        <v>919</v>
      </c>
      <c r="E668" s="4" t="s">
        <v>920</v>
      </c>
      <c r="F668" s="4">
        <v>2015</v>
      </c>
      <c r="G668" s="4" t="s">
        <v>901</v>
      </c>
      <c r="H668" s="6">
        <v>0</v>
      </c>
      <c r="I668" s="6" t="s">
        <v>97</v>
      </c>
    </row>
    <row r="669" spans="2:9" hidden="1" x14ac:dyDescent="0.25">
      <c r="B669" s="4" t="s">
        <v>978</v>
      </c>
      <c r="C669" s="4" t="s">
        <v>1251</v>
      </c>
      <c r="D669" s="4" t="s">
        <v>919</v>
      </c>
      <c r="E669" s="4" t="s">
        <v>1610</v>
      </c>
      <c r="F669" s="4">
        <v>2015</v>
      </c>
      <c r="G669" s="4" t="s">
        <v>901</v>
      </c>
      <c r="H669" s="6">
        <v>0</v>
      </c>
      <c r="I669" s="6" t="s">
        <v>97</v>
      </c>
    </row>
    <row r="670" spans="2:9" hidden="1" x14ac:dyDescent="0.25">
      <c r="B670" s="4" t="s">
        <v>979</v>
      </c>
      <c r="C670" s="4" t="s">
        <v>979</v>
      </c>
      <c r="D670" s="4" t="s">
        <v>919</v>
      </c>
      <c r="E670" s="4" t="s">
        <v>920</v>
      </c>
      <c r="F670" s="4">
        <v>2015</v>
      </c>
      <c r="G670" s="4" t="s">
        <v>901</v>
      </c>
      <c r="H670" s="6">
        <v>0</v>
      </c>
      <c r="I670" s="6" t="s">
        <v>97</v>
      </c>
    </row>
    <row r="671" spans="2:9" hidden="1" x14ac:dyDescent="0.25">
      <c r="B671" s="4" t="s">
        <v>980</v>
      </c>
      <c r="C671" s="4" t="s">
        <v>1418</v>
      </c>
      <c r="D671" s="4" t="s">
        <v>919</v>
      </c>
      <c r="E671" s="4" t="s">
        <v>1224</v>
      </c>
      <c r="F671" s="4">
        <v>2015</v>
      </c>
      <c r="G671" s="4" t="s">
        <v>901</v>
      </c>
      <c r="H671" s="6">
        <v>0</v>
      </c>
      <c r="I671" s="6" t="s">
        <v>97</v>
      </c>
    </row>
    <row r="672" spans="2:9" hidden="1" x14ac:dyDescent="0.25">
      <c r="B672" s="4" t="s">
        <v>981</v>
      </c>
      <c r="C672" s="4" t="s">
        <v>1172</v>
      </c>
      <c r="D672" s="4" t="s">
        <v>919</v>
      </c>
      <c r="E672" s="4" t="s">
        <v>1224</v>
      </c>
      <c r="F672" s="4">
        <v>2015</v>
      </c>
      <c r="G672" s="4" t="s">
        <v>901</v>
      </c>
      <c r="H672" s="6">
        <v>0</v>
      </c>
      <c r="I672" s="6" t="s">
        <v>97</v>
      </c>
    </row>
    <row r="673" spans="2:9" hidden="1" x14ac:dyDescent="0.25">
      <c r="B673" s="4" t="s">
        <v>982</v>
      </c>
      <c r="C673" s="4" t="s">
        <v>1173</v>
      </c>
      <c r="D673" s="4" t="s">
        <v>919</v>
      </c>
      <c r="E673" s="4" t="s">
        <v>1224</v>
      </c>
      <c r="F673" s="4">
        <v>2015</v>
      </c>
      <c r="G673" s="4" t="s">
        <v>901</v>
      </c>
      <c r="H673" s="6">
        <v>0</v>
      </c>
      <c r="I673" s="6" t="s">
        <v>97</v>
      </c>
    </row>
    <row r="674" spans="2:9" hidden="1" x14ac:dyDescent="0.25">
      <c r="B674" s="4" t="s">
        <v>983</v>
      </c>
      <c r="C674" s="4" t="s">
        <v>983</v>
      </c>
      <c r="D674" s="4" t="s">
        <v>919</v>
      </c>
      <c r="E674" s="4" t="s">
        <v>1224</v>
      </c>
      <c r="F674" s="4">
        <v>2015</v>
      </c>
      <c r="G674" s="4" t="s">
        <v>901</v>
      </c>
      <c r="H674" s="6">
        <v>0</v>
      </c>
      <c r="I674" s="6" t="s">
        <v>97</v>
      </c>
    </row>
    <row r="675" spans="2:9" hidden="1" x14ac:dyDescent="0.25">
      <c r="B675" s="4" t="s">
        <v>1363</v>
      </c>
      <c r="C675" s="4" t="s">
        <v>1273</v>
      </c>
      <c r="D675" s="4" t="s">
        <v>919</v>
      </c>
      <c r="E675" s="4" t="s">
        <v>1253</v>
      </c>
      <c r="F675" s="4">
        <v>2015</v>
      </c>
      <c r="G675" s="4" t="s">
        <v>901</v>
      </c>
      <c r="H675" s="6">
        <v>0</v>
      </c>
      <c r="I675" s="6" t="s">
        <v>97</v>
      </c>
    </row>
    <row r="676" spans="2:9" x14ac:dyDescent="0.25">
      <c r="B676" s="4" t="s">
        <v>1364</v>
      </c>
      <c r="C676" s="4" t="s">
        <v>1646</v>
      </c>
      <c r="D676" s="4" t="s">
        <v>1236</v>
      </c>
      <c r="E676" s="4" t="s">
        <v>1651</v>
      </c>
      <c r="F676" s="4">
        <v>2015</v>
      </c>
      <c r="G676" s="4" t="s">
        <v>901</v>
      </c>
      <c r="H676" s="6">
        <v>1</v>
      </c>
      <c r="I676" s="6" t="s">
        <v>97</v>
      </c>
    </row>
    <row r="677" spans="2:9" x14ac:dyDescent="0.25">
      <c r="B677" s="4" t="s">
        <v>1365</v>
      </c>
      <c r="C677" s="4" t="s">
        <v>1647</v>
      </c>
      <c r="D677" s="4" t="s">
        <v>1236</v>
      </c>
      <c r="E677" s="4" t="s">
        <v>1651</v>
      </c>
      <c r="F677" s="4">
        <v>2015</v>
      </c>
      <c r="G677" s="4" t="s">
        <v>901</v>
      </c>
      <c r="H677" s="6">
        <v>1</v>
      </c>
      <c r="I677" s="6" t="s">
        <v>97</v>
      </c>
    </row>
    <row r="678" spans="2:9" x14ac:dyDescent="0.25">
      <c r="B678" s="4" t="s">
        <v>434</v>
      </c>
      <c r="C678" s="4" t="s">
        <v>434</v>
      </c>
      <c r="D678" s="4" t="s">
        <v>919</v>
      </c>
      <c r="E678" s="4" t="s">
        <v>1223</v>
      </c>
      <c r="F678" s="4">
        <v>2015</v>
      </c>
      <c r="G678" s="4" t="s">
        <v>901</v>
      </c>
      <c r="H678" s="6">
        <v>1</v>
      </c>
      <c r="I678" s="6" t="s">
        <v>97</v>
      </c>
    </row>
    <row r="679" spans="2:9" hidden="1" x14ac:dyDescent="0.25">
      <c r="B679" s="4" t="s">
        <v>435</v>
      </c>
      <c r="C679" s="4" t="s">
        <v>1438</v>
      </c>
      <c r="D679" s="4" t="s">
        <v>919</v>
      </c>
      <c r="E679" s="4" t="s">
        <v>920</v>
      </c>
      <c r="F679" s="4">
        <v>2015</v>
      </c>
      <c r="G679" s="4" t="s">
        <v>901</v>
      </c>
      <c r="H679" s="6">
        <v>0</v>
      </c>
      <c r="I679" s="6" t="s">
        <v>97</v>
      </c>
    </row>
    <row r="680" spans="2:9" hidden="1" x14ac:dyDescent="0.25">
      <c r="B680" s="4" t="s">
        <v>984</v>
      </c>
      <c r="C680" s="4" t="s">
        <v>1174</v>
      </c>
      <c r="D680" s="4" t="s">
        <v>919</v>
      </c>
      <c r="E680" s="4" t="s">
        <v>920</v>
      </c>
      <c r="F680" s="4">
        <v>2015</v>
      </c>
      <c r="G680" s="4" t="s">
        <v>901</v>
      </c>
      <c r="H680" s="6">
        <v>0</v>
      </c>
      <c r="I680" s="6" t="s">
        <v>97</v>
      </c>
    </row>
    <row r="681" spans="2:9" hidden="1" x14ac:dyDescent="0.25">
      <c r="B681" s="4" t="s">
        <v>985</v>
      </c>
      <c r="C681" s="4" t="s">
        <v>1417</v>
      </c>
      <c r="D681" s="4" t="s">
        <v>919</v>
      </c>
      <c r="E681" s="4" t="s">
        <v>1610</v>
      </c>
      <c r="F681" s="4">
        <v>2015</v>
      </c>
      <c r="G681" s="4" t="s">
        <v>901</v>
      </c>
      <c r="H681" s="6">
        <v>0</v>
      </c>
      <c r="I681" s="6" t="s">
        <v>97</v>
      </c>
    </row>
    <row r="682" spans="2:9" x14ac:dyDescent="0.25">
      <c r="B682" s="4" t="s">
        <v>986</v>
      </c>
      <c r="C682" s="4" t="s">
        <v>1648</v>
      </c>
      <c r="D682" s="4" t="s">
        <v>919</v>
      </c>
      <c r="E682" s="4" t="s">
        <v>920</v>
      </c>
      <c r="F682" s="4">
        <v>2015</v>
      </c>
      <c r="G682" s="4" t="s">
        <v>901</v>
      </c>
      <c r="H682" s="6">
        <v>1</v>
      </c>
      <c r="I682" s="6" t="s">
        <v>97</v>
      </c>
    </row>
    <row r="683" spans="2:9" x14ac:dyDescent="0.25">
      <c r="B683" s="4" t="s">
        <v>1366</v>
      </c>
      <c r="C683" s="4" t="s">
        <v>1266</v>
      </c>
      <c r="D683" s="4" t="s">
        <v>919</v>
      </c>
      <c r="E683" s="4" t="s">
        <v>1265</v>
      </c>
      <c r="F683" s="4">
        <v>2015</v>
      </c>
      <c r="G683" s="4" t="s">
        <v>901</v>
      </c>
      <c r="H683" s="6">
        <v>1</v>
      </c>
      <c r="I683" s="6" t="s">
        <v>97</v>
      </c>
    </row>
    <row r="684" spans="2:9" x14ac:dyDescent="0.25">
      <c r="B684" s="4" t="s">
        <v>987</v>
      </c>
      <c r="C684" s="4" t="s">
        <v>987</v>
      </c>
      <c r="D684" s="4" t="s">
        <v>919</v>
      </c>
      <c r="E684" s="4" t="s">
        <v>1610</v>
      </c>
      <c r="F684" s="4">
        <v>2015</v>
      </c>
      <c r="G684" s="4" t="s">
        <v>901</v>
      </c>
      <c r="H684" s="6">
        <v>1</v>
      </c>
      <c r="I684" s="6" t="s">
        <v>97</v>
      </c>
    </row>
    <row r="685" spans="2:9" x14ac:dyDescent="0.25">
      <c r="B685" s="4" t="s">
        <v>988</v>
      </c>
      <c r="C685" s="4" t="s">
        <v>1175</v>
      </c>
      <c r="D685" s="4" t="s">
        <v>919</v>
      </c>
      <c r="E685" s="4" t="s">
        <v>1265</v>
      </c>
      <c r="F685" s="4">
        <v>2015</v>
      </c>
      <c r="G685" s="4" t="s">
        <v>901</v>
      </c>
      <c r="H685" s="6">
        <v>1</v>
      </c>
      <c r="I685" s="6" t="s">
        <v>97</v>
      </c>
    </row>
    <row r="686" spans="2:9" hidden="1" x14ac:dyDescent="0.25">
      <c r="B686" s="4" t="s">
        <v>989</v>
      </c>
      <c r="C686" s="4" t="s">
        <v>1176</v>
      </c>
      <c r="D686" s="4" t="s">
        <v>919</v>
      </c>
      <c r="E686" s="4" t="s">
        <v>1388</v>
      </c>
      <c r="F686" s="4">
        <v>2015</v>
      </c>
      <c r="G686" s="4" t="s">
        <v>901</v>
      </c>
      <c r="H686" s="6">
        <v>0</v>
      </c>
      <c r="I686" s="6" t="s">
        <v>97</v>
      </c>
    </row>
    <row r="687" spans="2:9" x14ac:dyDescent="0.25">
      <c r="B687" s="4" t="s">
        <v>1130</v>
      </c>
      <c r="C687" s="4" t="s">
        <v>1755</v>
      </c>
      <c r="D687" s="4" t="s">
        <v>919</v>
      </c>
      <c r="E687" s="4" t="s">
        <v>1610</v>
      </c>
      <c r="F687" s="4">
        <v>2015</v>
      </c>
      <c r="G687" s="4" t="s">
        <v>901</v>
      </c>
      <c r="H687" s="6">
        <v>1</v>
      </c>
      <c r="I687" s="6" t="s">
        <v>97</v>
      </c>
    </row>
    <row r="688" spans="2:9" hidden="1" x14ac:dyDescent="0.25">
      <c r="B688" s="4" t="s">
        <v>990</v>
      </c>
      <c r="C688" s="4" t="s">
        <v>1177</v>
      </c>
      <c r="D688" s="4" t="s">
        <v>919</v>
      </c>
      <c r="E688" s="4" t="s">
        <v>920</v>
      </c>
      <c r="F688" s="4">
        <v>2015</v>
      </c>
      <c r="G688" s="4" t="s">
        <v>901</v>
      </c>
      <c r="H688" s="6">
        <v>0</v>
      </c>
      <c r="I688" s="6" t="s">
        <v>97</v>
      </c>
    </row>
    <row r="689" spans="2:9" hidden="1" x14ac:dyDescent="0.25">
      <c r="B689" s="4" t="s">
        <v>991</v>
      </c>
      <c r="C689" s="4" t="s">
        <v>1178</v>
      </c>
      <c r="D689" s="4" t="s">
        <v>919</v>
      </c>
      <c r="E689" s="4" t="s">
        <v>920</v>
      </c>
      <c r="F689" s="4">
        <v>2015</v>
      </c>
      <c r="G689" s="4" t="s">
        <v>901</v>
      </c>
      <c r="H689" s="6">
        <v>0</v>
      </c>
      <c r="I689" s="6" t="s">
        <v>97</v>
      </c>
    </row>
    <row r="690" spans="2:9" x14ac:dyDescent="0.25">
      <c r="B690" s="4" t="s">
        <v>1367</v>
      </c>
      <c r="C690" s="4" t="s">
        <v>1416</v>
      </c>
      <c r="D690" s="4" t="s">
        <v>919</v>
      </c>
      <c r="E690" s="4" t="s">
        <v>1388</v>
      </c>
      <c r="F690" s="4">
        <v>2015</v>
      </c>
      <c r="G690" s="4" t="s">
        <v>901</v>
      </c>
      <c r="H690" s="6">
        <v>1</v>
      </c>
      <c r="I690" s="6" t="s">
        <v>97</v>
      </c>
    </row>
    <row r="691" spans="2:9" x14ac:dyDescent="0.25">
      <c r="B691" s="4" t="s">
        <v>1131</v>
      </c>
      <c r="C691" s="4" t="s">
        <v>1415</v>
      </c>
      <c r="D691" s="4" t="s">
        <v>919</v>
      </c>
      <c r="E691" s="4" t="s">
        <v>1388</v>
      </c>
      <c r="F691" s="4">
        <v>2015</v>
      </c>
      <c r="G691" s="4" t="s">
        <v>901</v>
      </c>
      <c r="H691" s="6">
        <v>1</v>
      </c>
      <c r="I691" s="6" t="s">
        <v>97</v>
      </c>
    </row>
    <row r="692" spans="2:9" hidden="1" x14ac:dyDescent="0.25">
      <c r="B692" s="4" t="s">
        <v>1368</v>
      </c>
      <c r="C692" s="4" t="s">
        <v>1414</v>
      </c>
      <c r="D692" s="4" t="s">
        <v>919</v>
      </c>
      <c r="E692" s="4" t="s">
        <v>1388</v>
      </c>
      <c r="F692" s="4">
        <v>2015</v>
      </c>
      <c r="G692" s="4" t="s">
        <v>901</v>
      </c>
      <c r="H692" s="6">
        <v>0</v>
      </c>
      <c r="I692" s="6" t="s">
        <v>97</v>
      </c>
    </row>
    <row r="693" spans="2:9" hidden="1" x14ac:dyDescent="0.25">
      <c r="B693" s="4" t="s">
        <v>1132</v>
      </c>
      <c r="C693" s="4" t="s">
        <v>1276</v>
      </c>
      <c r="D693" s="4" t="s">
        <v>919</v>
      </c>
      <c r="E693" s="4" t="s">
        <v>920</v>
      </c>
      <c r="F693" s="4">
        <v>2015</v>
      </c>
      <c r="G693" s="4" t="s">
        <v>901</v>
      </c>
      <c r="H693" s="6">
        <v>0</v>
      </c>
      <c r="I693" s="6" t="s">
        <v>97</v>
      </c>
    </row>
    <row r="694" spans="2:9" hidden="1" x14ac:dyDescent="0.25">
      <c r="B694" s="4" t="s">
        <v>1133</v>
      </c>
      <c r="C694" s="4" t="s">
        <v>1275</v>
      </c>
      <c r="D694" s="4" t="s">
        <v>919</v>
      </c>
      <c r="E694" s="4" t="s">
        <v>920</v>
      </c>
      <c r="F694" s="4">
        <v>2015</v>
      </c>
      <c r="G694" s="4" t="s">
        <v>901</v>
      </c>
      <c r="H694" s="6">
        <v>0</v>
      </c>
      <c r="I694" s="6" t="s">
        <v>97</v>
      </c>
    </row>
    <row r="695" spans="2:9" hidden="1" x14ac:dyDescent="0.25">
      <c r="B695" s="4" t="s">
        <v>1134</v>
      </c>
      <c r="C695" s="4" t="s">
        <v>1274</v>
      </c>
      <c r="D695" s="4" t="s">
        <v>919</v>
      </c>
      <c r="E695" s="4" t="s">
        <v>920</v>
      </c>
      <c r="F695" s="4">
        <v>2015</v>
      </c>
      <c r="G695" s="4" t="s">
        <v>901</v>
      </c>
      <c r="H695" s="6">
        <v>0</v>
      </c>
      <c r="I695" s="6" t="s">
        <v>97</v>
      </c>
    </row>
    <row r="696" spans="2:9" hidden="1" x14ac:dyDescent="0.25">
      <c r="B696" s="4" t="s">
        <v>1135</v>
      </c>
      <c r="C696" s="4" t="s">
        <v>1277</v>
      </c>
      <c r="D696" s="4" t="s">
        <v>919</v>
      </c>
      <c r="E696" s="4" t="s">
        <v>920</v>
      </c>
      <c r="F696" s="4">
        <v>2015</v>
      </c>
      <c r="G696" s="4" t="s">
        <v>901</v>
      </c>
      <c r="H696" s="6">
        <v>0</v>
      </c>
      <c r="I696" s="6" t="s">
        <v>97</v>
      </c>
    </row>
    <row r="697" spans="2:9" hidden="1" x14ac:dyDescent="0.25">
      <c r="B697" s="4" t="s">
        <v>992</v>
      </c>
      <c r="C697" s="4" t="s">
        <v>1179</v>
      </c>
      <c r="D697" s="4" t="s">
        <v>919</v>
      </c>
      <c r="E697" s="4" t="s">
        <v>920</v>
      </c>
      <c r="F697" s="4">
        <v>2015</v>
      </c>
      <c r="G697" s="4" t="s">
        <v>901</v>
      </c>
      <c r="H697" s="6">
        <v>0</v>
      </c>
      <c r="I697" s="6" t="s">
        <v>97</v>
      </c>
    </row>
    <row r="698" spans="2:9" hidden="1" x14ac:dyDescent="0.25">
      <c r="B698" s="4" t="s">
        <v>993</v>
      </c>
      <c r="C698" s="4" t="s">
        <v>1180</v>
      </c>
      <c r="D698" s="4" t="s">
        <v>919</v>
      </c>
      <c r="E698" s="4" t="s">
        <v>920</v>
      </c>
      <c r="F698" s="4">
        <v>2015</v>
      </c>
      <c r="G698" s="4" t="s">
        <v>901</v>
      </c>
      <c r="H698" s="6">
        <v>0</v>
      </c>
      <c r="I698" s="6" t="s">
        <v>97</v>
      </c>
    </row>
    <row r="699" spans="2:9" hidden="1" x14ac:dyDescent="0.25">
      <c r="B699" s="4" t="s">
        <v>1386</v>
      </c>
      <c r="C699" s="4" t="s">
        <v>1235</v>
      </c>
      <c r="D699" s="4" t="s">
        <v>919</v>
      </c>
      <c r="E699" s="4" t="s">
        <v>920</v>
      </c>
      <c r="F699" s="4">
        <v>2015</v>
      </c>
      <c r="G699" s="4" t="s">
        <v>901</v>
      </c>
      <c r="H699" s="6">
        <v>0</v>
      </c>
      <c r="I699" s="6" t="s">
        <v>97</v>
      </c>
    </row>
    <row r="700" spans="2:9" hidden="1" x14ac:dyDescent="0.25">
      <c r="B700" s="4" t="s">
        <v>1387</v>
      </c>
      <c r="C700" s="4" t="s">
        <v>1234</v>
      </c>
      <c r="D700" s="4" t="s">
        <v>919</v>
      </c>
      <c r="E700" s="4" t="s">
        <v>920</v>
      </c>
      <c r="F700" s="4">
        <v>2015</v>
      </c>
      <c r="G700" s="4" t="s">
        <v>901</v>
      </c>
      <c r="H700" s="6">
        <v>0</v>
      </c>
      <c r="I700" s="6" t="s">
        <v>97</v>
      </c>
    </row>
    <row r="701" spans="2:9" hidden="1" x14ac:dyDescent="0.25">
      <c r="B701" s="4" t="s">
        <v>994</v>
      </c>
      <c r="C701" s="4" t="s">
        <v>1181</v>
      </c>
      <c r="D701" s="4" t="s">
        <v>919</v>
      </c>
      <c r="E701" s="4" t="s">
        <v>1223</v>
      </c>
      <c r="F701" s="4">
        <v>2015</v>
      </c>
      <c r="G701" s="4" t="s">
        <v>901</v>
      </c>
      <c r="H701" s="6">
        <v>0</v>
      </c>
      <c r="I701" s="6" t="s">
        <v>97</v>
      </c>
    </row>
    <row r="702" spans="2:9" x14ac:dyDescent="0.25">
      <c r="B702" s="4" t="s">
        <v>995</v>
      </c>
      <c r="C702" s="4" t="s">
        <v>1242</v>
      </c>
      <c r="D702" s="4" t="s">
        <v>919</v>
      </c>
      <c r="E702" s="4" t="s">
        <v>1610</v>
      </c>
      <c r="F702" s="4">
        <v>2015</v>
      </c>
      <c r="G702" s="4" t="s">
        <v>901</v>
      </c>
      <c r="H702" s="6">
        <v>1</v>
      </c>
      <c r="I702" s="6" t="s">
        <v>97</v>
      </c>
    </row>
    <row r="703" spans="2:9" x14ac:dyDescent="0.25">
      <c r="B703" s="4" t="s">
        <v>996</v>
      </c>
      <c r="C703" s="4" t="s">
        <v>1412</v>
      </c>
      <c r="D703" s="4" t="s">
        <v>919</v>
      </c>
      <c r="E703" s="4" t="s">
        <v>1610</v>
      </c>
      <c r="F703" s="4">
        <v>2015</v>
      </c>
      <c r="G703" s="4" t="s">
        <v>901</v>
      </c>
      <c r="H703" s="6">
        <v>1</v>
      </c>
      <c r="I703" s="6" t="s">
        <v>97</v>
      </c>
    </row>
    <row r="704" spans="2:9" x14ac:dyDescent="0.25">
      <c r="B704" s="4" t="s">
        <v>997</v>
      </c>
      <c r="C704" s="4" t="s">
        <v>1411</v>
      </c>
      <c r="D704" s="4" t="s">
        <v>919</v>
      </c>
      <c r="E704" s="4" t="s">
        <v>1239</v>
      </c>
      <c r="F704" s="4">
        <v>2015</v>
      </c>
      <c r="G704" s="4" t="s">
        <v>901</v>
      </c>
      <c r="H704" s="6">
        <v>1</v>
      </c>
      <c r="I704" s="6" t="s">
        <v>97</v>
      </c>
    </row>
    <row r="705" spans="2:9" x14ac:dyDescent="0.25">
      <c r="B705" s="4" t="s">
        <v>1369</v>
      </c>
      <c r="C705" s="4" t="s">
        <v>1228</v>
      </c>
      <c r="D705" s="4" t="s">
        <v>919</v>
      </c>
      <c r="E705" s="4" t="s">
        <v>1229</v>
      </c>
      <c r="F705" s="4">
        <v>2015</v>
      </c>
      <c r="G705" s="4" t="s">
        <v>901</v>
      </c>
      <c r="H705" s="6">
        <v>1</v>
      </c>
      <c r="I705" s="6" t="s">
        <v>97</v>
      </c>
    </row>
    <row r="706" spans="2:9" x14ac:dyDescent="0.25">
      <c r="B706" s="4" t="s">
        <v>998</v>
      </c>
      <c r="C706" s="4" t="s">
        <v>1182</v>
      </c>
      <c r="D706" s="4" t="s">
        <v>919</v>
      </c>
      <c r="E706" s="4" t="s">
        <v>1229</v>
      </c>
      <c r="F706" s="4">
        <v>2015</v>
      </c>
      <c r="G706" s="4" t="s">
        <v>901</v>
      </c>
      <c r="H706" s="6">
        <v>1</v>
      </c>
      <c r="I706" s="6" t="s">
        <v>97</v>
      </c>
    </row>
    <row r="707" spans="2:9" x14ac:dyDescent="0.25">
      <c r="B707" s="4" t="s">
        <v>436</v>
      </c>
      <c r="C707" s="4" t="s">
        <v>1413</v>
      </c>
      <c r="D707" s="4" t="s">
        <v>919</v>
      </c>
      <c r="E707" s="4" t="s">
        <v>1264</v>
      </c>
      <c r="F707" s="4">
        <v>2015</v>
      </c>
      <c r="G707" s="4" t="s">
        <v>901</v>
      </c>
      <c r="H707" s="6">
        <v>1</v>
      </c>
      <c r="I707" s="6" t="s">
        <v>97</v>
      </c>
    </row>
    <row r="708" spans="2:9" x14ac:dyDescent="0.25">
      <c r="B708" s="4" t="s">
        <v>15</v>
      </c>
      <c r="C708" s="4" t="s">
        <v>1243</v>
      </c>
      <c r="D708" s="4" t="s">
        <v>919</v>
      </c>
      <c r="E708" s="4" t="s">
        <v>1610</v>
      </c>
      <c r="F708" s="4">
        <v>2015</v>
      </c>
      <c r="G708" s="4" t="s">
        <v>901</v>
      </c>
      <c r="H708" s="6">
        <v>1</v>
      </c>
      <c r="I708" s="6" t="s">
        <v>97</v>
      </c>
    </row>
    <row r="709" spans="2:9" hidden="1" x14ac:dyDescent="0.25">
      <c r="B709" s="4" t="s">
        <v>999</v>
      </c>
      <c r="C709" s="4" t="s">
        <v>999</v>
      </c>
      <c r="D709" s="4" t="s">
        <v>919</v>
      </c>
      <c r="E709" s="4" t="s">
        <v>1610</v>
      </c>
      <c r="F709" s="4">
        <v>2015</v>
      </c>
      <c r="G709" s="4" t="s">
        <v>901</v>
      </c>
      <c r="H709" s="6">
        <v>0</v>
      </c>
      <c r="I709" s="6" t="s">
        <v>97</v>
      </c>
    </row>
    <row r="710" spans="2:9" hidden="1" x14ac:dyDescent="0.25">
      <c r="B710" s="4" t="s">
        <v>1000</v>
      </c>
      <c r="C710" s="4" t="s">
        <v>1000</v>
      </c>
      <c r="D710" s="4" t="s">
        <v>919</v>
      </c>
      <c r="E710" s="4" t="s">
        <v>1610</v>
      </c>
      <c r="F710" s="4">
        <v>2015</v>
      </c>
      <c r="G710" s="4" t="s">
        <v>901</v>
      </c>
      <c r="H710" s="6">
        <v>0</v>
      </c>
      <c r="I710" s="6" t="s">
        <v>97</v>
      </c>
    </row>
    <row r="711" spans="2:9" hidden="1" x14ac:dyDescent="0.25">
      <c r="B711" s="4" t="s">
        <v>1370</v>
      </c>
      <c r="C711" s="4" t="s">
        <v>1183</v>
      </c>
      <c r="D711" s="4" t="s">
        <v>919</v>
      </c>
      <c r="E711" s="4" t="s">
        <v>1259</v>
      </c>
      <c r="F711" s="4">
        <v>2015</v>
      </c>
      <c r="G711" s="4" t="s">
        <v>901</v>
      </c>
      <c r="H711" s="6">
        <v>0</v>
      </c>
      <c r="I711" s="6" t="s">
        <v>97</v>
      </c>
    </row>
    <row r="712" spans="2:9" hidden="1" x14ac:dyDescent="0.25">
      <c r="B712" s="4" t="s">
        <v>1001</v>
      </c>
      <c r="C712" s="4" t="s">
        <v>1001</v>
      </c>
      <c r="D712" s="4" t="s">
        <v>919</v>
      </c>
      <c r="E712" s="4" t="s">
        <v>920</v>
      </c>
      <c r="F712" s="4">
        <v>2015</v>
      </c>
      <c r="G712" s="4" t="s">
        <v>901</v>
      </c>
      <c r="H712" s="6">
        <v>0</v>
      </c>
      <c r="I712" s="6" t="s">
        <v>97</v>
      </c>
    </row>
    <row r="713" spans="2:9" hidden="1" x14ac:dyDescent="0.25">
      <c r="B713" s="4" t="s">
        <v>1371</v>
      </c>
      <c r="C713" s="4" t="s">
        <v>1217</v>
      </c>
      <c r="D713" s="4" t="s">
        <v>919</v>
      </c>
      <c r="E713" s="4" t="s">
        <v>1252</v>
      </c>
      <c r="F713" s="4">
        <v>2015</v>
      </c>
      <c r="G713" s="4" t="s">
        <v>901</v>
      </c>
      <c r="H713" s="6">
        <v>0</v>
      </c>
      <c r="I713" s="6" t="s">
        <v>97</v>
      </c>
    </row>
    <row r="714" spans="2:9" x14ac:dyDescent="0.25">
      <c r="B714" s="4" t="s">
        <v>1372</v>
      </c>
      <c r="C714" s="4" t="s">
        <v>1437</v>
      </c>
      <c r="D714" s="4" t="s">
        <v>919</v>
      </c>
      <c r="E714" s="4" t="s">
        <v>1252</v>
      </c>
      <c r="F714" s="4">
        <v>2015</v>
      </c>
      <c r="G714" s="4" t="s">
        <v>901</v>
      </c>
      <c r="H714" s="6">
        <v>1</v>
      </c>
      <c r="I714" s="6" t="s">
        <v>97</v>
      </c>
    </row>
    <row r="715" spans="2:9" hidden="1" x14ac:dyDescent="0.25">
      <c r="B715" s="4" t="s">
        <v>1373</v>
      </c>
      <c r="C715" s="4" t="s">
        <v>1218</v>
      </c>
      <c r="D715" s="4" t="s">
        <v>919</v>
      </c>
      <c r="E715" s="4" t="s">
        <v>1252</v>
      </c>
      <c r="F715" s="4">
        <v>2015</v>
      </c>
      <c r="G715" s="4" t="s">
        <v>901</v>
      </c>
      <c r="H715" s="6">
        <v>0</v>
      </c>
      <c r="I715" s="6" t="s">
        <v>97</v>
      </c>
    </row>
    <row r="716" spans="2:9" hidden="1" x14ac:dyDescent="0.25">
      <c r="B716" s="4" t="s">
        <v>1374</v>
      </c>
      <c r="C716" s="4" t="s">
        <v>1219</v>
      </c>
      <c r="D716" s="4" t="s">
        <v>919</v>
      </c>
      <c r="E716" s="4" t="s">
        <v>1252</v>
      </c>
      <c r="F716" s="4">
        <v>2015</v>
      </c>
      <c r="G716" s="4" t="s">
        <v>901</v>
      </c>
      <c r="H716" s="6">
        <v>0</v>
      </c>
      <c r="I716" s="6" t="s">
        <v>97</v>
      </c>
    </row>
    <row r="717" spans="2:9" x14ac:dyDescent="0.25">
      <c r="B717" s="4" t="s">
        <v>16</v>
      </c>
      <c r="C717" s="4" t="s">
        <v>16</v>
      </c>
      <c r="D717" s="4" t="s">
        <v>919</v>
      </c>
      <c r="E717" s="4" t="s">
        <v>1610</v>
      </c>
      <c r="F717" s="4">
        <v>2015</v>
      </c>
      <c r="G717" s="4" t="s">
        <v>901</v>
      </c>
      <c r="H717" s="6">
        <v>1</v>
      </c>
      <c r="I717" s="6" t="s">
        <v>97</v>
      </c>
    </row>
    <row r="718" spans="2:9" x14ac:dyDescent="0.25">
      <c r="B718" s="4" t="s">
        <v>1002</v>
      </c>
      <c r="C718" s="4" t="s">
        <v>1184</v>
      </c>
      <c r="D718" s="4" t="s">
        <v>919</v>
      </c>
      <c r="E718" s="4" t="s">
        <v>1259</v>
      </c>
      <c r="F718" s="4">
        <v>2015</v>
      </c>
      <c r="G718" s="4" t="s">
        <v>901</v>
      </c>
      <c r="H718" s="6">
        <v>1</v>
      </c>
      <c r="I718" s="6" t="s">
        <v>97</v>
      </c>
    </row>
    <row r="719" spans="2:9" x14ac:dyDescent="0.25">
      <c r="B719" s="4" t="s">
        <v>1003</v>
      </c>
      <c r="C719" s="4" t="s">
        <v>1185</v>
      </c>
      <c r="D719" s="4" t="s">
        <v>919</v>
      </c>
      <c r="E719" s="4" t="s">
        <v>1229</v>
      </c>
      <c r="F719" s="4">
        <v>2015</v>
      </c>
      <c r="G719" s="4" t="s">
        <v>901</v>
      </c>
      <c r="H719" s="6">
        <v>1</v>
      </c>
      <c r="I719" s="6" t="s">
        <v>97</v>
      </c>
    </row>
    <row r="720" spans="2:9" x14ac:dyDescent="0.25">
      <c r="B720" s="4" t="s">
        <v>1375</v>
      </c>
      <c r="C720" s="4" t="s">
        <v>1220</v>
      </c>
      <c r="D720" s="4" t="s">
        <v>919</v>
      </c>
      <c r="E720" s="4" t="s">
        <v>1229</v>
      </c>
      <c r="F720" s="4">
        <v>2015</v>
      </c>
      <c r="G720" s="4" t="s">
        <v>901</v>
      </c>
      <c r="H720" s="6">
        <v>1</v>
      </c>
      <c r="I720" s="6" t="s">
        <v>97</v>
      </c>
    </row>
    <row r="721" spans="2:9" x14ac:dyDescent="0.25">
      <c r="B721" s="4" t="s">
        <v>437</v>
      </c>
      <c r="C721" s="4" t="s">
        <v>437</v>
      </c>
      <c r="D721" s="4" t="s">
        <v>919</v>
      </c>
      <c r="E721" s="4" t="s">
        <v>920</v>
      </c>
      <c r="F721" s="4">
        <v>2015</v>
      </c>
      <c r="G721" s="4" t="s">
        <v>901</v>
      </c>
      <c r="H721" s="6">
        <v>1</v>
      </c>
      <c r="I721" s="6" t="s">
        <v>97</v>
      </c>
    </row>
    <row r="722" spans="2:9" x14ac:dyDescent="0.25">
      <c r="B722" s="4" t="s">
        <v>438</v>
      </c>
      <c r="C722" s="4" t="s">
        <v>1577</v>
      </c>
      <c r="D722" s="4" t="s">
        <v>919</v>
      </c>
      <c r="E722" s="4" t="s">
        <v>1223</v>
      </c>
      <c r="F722" s="4">
        <v>2015</v>
      </c>
      <c r="G722" s="4" t="s">
        <v>901</v>
      </c>
      <c r="H722" s="6">
        <v>1</v>
      </c>
      <c r="I722" s="6" t="s">
        <v>97</v>
      </c>
    </row>
    <row r="723" spans="2:9" hidden="1" x14ac:dyDescent="0.25">
      <c r="B723" s="4" t="s">
        <v>1376</v>
      </c>
      <c r="C723" s="4" t="s">
        <v>1225</v>
      </c>
      <c r="D723" s="4" t="s">
        <v>919</v>
      </c>
      <c r="E723" s="4" t="s">
        <v>920</v>
      </c>
      <c r="F723" s="4">
        <v>2015</v>
      </c>
      <c r="G723" s="4" t="s">
        <v>901</v>
      </c>
      <c r="H723" s="6">
        <v>0</v>
      </c>
      <c r="I723" s="6" t="s">
        <v>97</v>
      </c>
    </row>
    <row r="724" spans="2:9" x14ac:dyDescent="0.25">
      <c r="B724" s="4" t="s">
        <v>1136</v>
      </c>
      <c r="C724" s="4" t="s">
        <v>1186</v>
      </c>
      <c r="D724" s="4" t="s">
        <v>1236</v>
      </c>
      <c r="E724" s="4" t="s">
        <v>1651</v>
      </c>
      <c r="F724" s="4">
        <v>2015</v>
      </c>
      <c r="G724" s="4" t="s">
        <v>901</v>
      </c>
      <c r="H724" s="6">
        <v>1</v>
      </c>
      <c r="I724" s="6" t="s">
        <v>97</v>
      </c>
    </row>
    <row r="725" spans="2:9" hidden="1" x14ac:dyDescent="0.25">
      <c r="B725" s="4" t="s">
        <v>439</v>
      </c>
      <c r="C725" s="4" t="s">
        <v>1436</v>
      </c>
      <c r="D725" s="4" t="s">
        <v>919</v>
      </c>
      <c r="E725" s="4" t="s">
        <v>920</v>
      </c>
      <c r="F725" s="4">
        <v>2015</v>
      </c>
      <c r="G725" s="4" t="s">
        <v>901</v>
      </c>
      <c r="H725" s="6">
        <v>0</v>
      </c>
      <c r="I725" s="6" t="s">
        <v>97</v>
      </c>
    </row>
    <row r="726" spans="2:9" hidden="1" x14ac:dyDescent="0.25">
      <c r="B726" s="4" t="s">
        <v>1004</v>
      </c>
      <c r="C726" s="4" t="s">
        <v>1004</v>
      </c>
      <c r="D726" s="4" t="s">
        <v>919</v>
      </c>
      <c r="E726" s="4" t="s">
        <v>1610</v>
      </c>
      <c r="F726" s="4">
        <v>2015</v>
      </c>
      <c r="G726" s="4" t="s">
        <v>901</v>
      </c>
      <c r="H726" s="6">
        <v>0</v>
      </c>
      <c r="I726" s="6" t="s">
        <v>97</v>
      </c>
    </row>
    <row r="727" spans="2:9" hidden="1" x14ac:dyDescent="0.25">
      <c r="B727" s="4" t="s">
        <v>1005</v>
      </c>
      <c r="C727" s="4" t="s">
        <v>1005</v>
      </c>
      <c r="D727" s="4" t="s">
        <v>919</v>
      </c>
      <c r="E727" s="4" t="s">
        <v>1610</v>
      </c>
      <c r="F727" s="4">
        <v>2015</v>
      </c>
      <c r="G727" s="4" t="s">
        <v>901</v>
      </c>
      <c r="H727" s="6">
        <v>0</v>
      </c>
      <c r="I727" s="6" t="s">
        <v>97</v>
      </c>
    </row>
    <row r="728" spans="2:9" hidden="1" x14ac:dyDescent="0.25">
      <c r="B728" s="4" t="s">
        <v>1006</v>
      </c>
      <c r="C728" s="4" t="s">
        <v>1187</v>
      </c>
      <c r="D728" s="4" t="s">
        <v>919</v>
      </c>
      <c r="E728" s="4" t="s">
        <v>1226</v>
      </c>
      <c r="F728" s="4">
        <v>2015</v>
      </c>
      <c r="G728" s="4" t="s">
        <v>901</v>
      </c>
      <c r="H728" s="6">
        <v>0</v>
      </c>
      <c r="I728" s="6" t="s">
        <v>97</v>
      </c>
    </row>
    <row r="729" spans="2:9" hidden="1" x14ac:dyDescent="0.25">
      <c r="B729" s="4" t="s">
        <v>440</v>
      </c>
      <c r="C729" s="4" t="s">
        <v>440</v>
      </c>
      <c r="D729" s="4" t="s">
        <v>919</v>
      </c>
      <c r="E729" s="4" t="s">
        <v>920</v>
      </c>
      <c r="F729" s="4">
        <v>2015</v>
      </c>
      <c r="G729" s="4" t="s">
        <v>901</v>
      </c>
      <c r="H729" s="6">
        <v>0</v>
      </c>
      <c r="I729" s="6" t="s">
        <v>97</v>
      </c>
    </row>
    <row r="730" spans="2:9" hidden="1" x14ac:dyDescent="0.25">
      <c r="B730" s="4" t="s">
        <v>1007</v>
      </c>
      <c r="C730" s="4" t="s">
        <v>1188</v>
      </c>
      <c r="D730" s="4" t="s">
        <v>919</v>
      </c>
      <c r="E730" s="4" t="s">
        <v>1388</v>
      </c>
      <c r="F730" s="4">
        <v>2015</v>
      </c>
      <c r="G730" s="4" t="s">
        <v>901</v>
      </c>
      <c r="H730" s="6">
        <v>0</v>
      </c>
      <c r="I730" s="6" t="s">
        <v>97</v>
      </c>
    </row>
    <row r="731" spans="2:9" hidden="1" x14ac:dyDescent="0.25">
      <c r="B731" s="4" t="s">
        <v>1008</v>
      </c>
      <c r="C731" s="4" t="s">
        <v>1278</v>
      </c>
      <c r="D731" s="4" t="s">
        <v>919</v>
      </c>
      <c r="E731" s="4" t="s">
        <v>1259</v>
      </c>
      <c r="F731" s="4">
        <v>2015</v>
      </c>
      <c r="G731" s="4" t="s">
        <v>901</v>
      </c>
      <c r="H731" s="6">
        <v>0</v>
      </c>
      <c r="I731" s="6" t="s">
        <v>97</v>
      </c>
    </row>
    <row r="732" spans="2:9" hidden="1" x14ac:dyDescent="0.25">
      <c r="B732" s="4" t="s">
        <v>1009</v>
      </c>
      <c r="C732" s="4" t="s">
        <v>1189</v>
      </c>
      <c r="D732" s="4" t="s">
        <v>919</v>
      </c>
      <c r="E732" s="4" t="s">
        <v>920</v>
      </c>
      <c r="F732" s="4">
        <v>2015</v>
      </c>
      <c r="G732" s="4" t="s">
        <v>901</v>
      </c>
      <c r="H732" s="6">
        <v>0</v>
      </c>
      <c r="I732" s="6" t="s">
        <v>97</v>
      </c>
    </row>
    <row r="733" spans="2:9" x14ac:dyDescent="0.25">
      <c r="B733" s="4" t="s">
        <v>1377</v>
      </c>
      <c r="C733" s="4" t="s">
        <v>1409</v>
      </c>
      <c r="D733" s="4" t="s">
        <v>919</v>
      </c>
      <c r="E733" s="4" t="s">
        <v>1224</v>
      </c>
      <c r="F733" s="4">
        <v>2015</v>
      </c>
      <c r="G733" s="4" t="s">
        <v>901</v>
      </c>
      <c r="H733" s="6">
        <v>1</v>
      </c>
      <c r="I733" s="6" t="s">
        <v>97</v>
      </c>
    </row>
    <row r="734" spans="2:9" hidden="1" x14ac:dyDescent="0.25">
      <c r="B734" s="4" t="s">
        <v>1378</v>
      </c>
      <c r="C734" s="4" t="s">
        <v>1385</v>
      </c>
      <c r="D734" s="4" t="s">
        <v>919</v>
      </c>
      <c r="E734" s="4" t="s">
        <v>1224</v>
      </c>
      <c r="F734" s="4">
        <v>2015</v>
      </c>
      <c r="G734" s="4" t="s">
        <v>901</v>
      </c>
      <c r="H734" s="6">
        <v>0</v>
      </c>
      <c r="I734" s="6" t="s">
        <v>97</v>
      </c>
    </row>
    <row r="735" spans="2:9" hidden="1" x14ac:dyDescent="0.25">
      <c r="B735" s="4" t="s">
        <v>1379</v>
      </c>
      <c r="C735" s="4" t="s">
        <v>1410</v>
      </c>
      <c r="D735" s="4" t="s">
        <v>919</v>
      </c>
      <c r="E735" s="4" t="s">
        <v>1224</v>
      </c>
      <c r="F735" s="4">
        <v>2015</v>
      </c>
      <c r="G735" s="4" t="s">
        <v>901</v>
      </c>
      <c r="H735" s="6">
        <v>0</v>
      </c>
      <c r="I735" s="6" t="s">
        <v>97</v>
      </c>
    </row>
    <row r="736" spans="2:9" hidden="1" x14ac:dyDescent="0.25">
      <c r="B736" s="4" t="s">
        <v>1010</v>
      </c>
      <c r="C736" s="4" t="s">
        <v>1190</v>
      </c>
      <c r="D736" s="4" t="s">
        <v>919</v>
      </c>
      <c r="E736" s="4" t="s">
        <v>1388</v>
      </c>
      <c r="F736" s="4">
        <v>2015</v>
      </c>
      <c r="G736" s="4" t="s">
        <v>901</v>
      </c>
      <c r="H736" s="6">
        <v>0</v>
      </c>
      <c r="I736" s="6" t="s">
        <v>97</v>
      </c>
    </row>
    <row r="737" spans="2:9" hidden="1" x14ac:dyDescent="0.25">
      <c r="B737" s="4" t="s">
        <v>1137</v>
      </c>
      <c r="C737" s="4" t="s">
        <v>1191</v>
      </c>
      <c r="D737" s="4" t="s">
        <v>919</v>
      </c>
      <c r="E737" s="4" t="s">
        <v>1388</v>
      </c>
      <c r="F737" s="4">
        <v>2015</v>
      </c>
      <c r="G737" s="4" t="s">
        <v>901</v>
      </c>
      <c r="H737" s="6">
        <v>0</v>
      </c>
      <c r="I737" s="6" t="s">
        <v>97</v>
      </c>
    </row>
    <row r="738" spans="2:9" hidden="1" x14ac:dyDescent="0.25">
      <c r="B738" s="4" t="s">
        <v>1138</v>
      </c>
      <c r="C738" s="4" t="s">
        <v>1289</v>
      </c>
      <c r="D738" s="4" t="s">
        <v>919</v>
      </c>
      <c r="E738" s="4" t="s">
        <v>1388</v>
      </c>
      <c r="F738" s="4">
        <v>2015</v>
      </c>
      <c r="G738" s="4" t="s">
        <v>901</v>
      </c>
      <c r="H738" s="6">
        <v>0</v>
      </c>
      <c r="I738" s="6" t="s">
        <v>97</v>
      </c>
    </row>
    <row r="739" spans="2:9" hidden="1" x14ac:dyDescent="0.25">
      <c r="B739" s="4" t="s">
        <v>1011</v>
      </c>
      <c r="C739" s="4" t="s">
        <v>1222</v>
      </c>
      <c r="D739" s="4" t="s">
        <v>919</v>
      </c>
      <c r="E739" s="4" t="s">
        <v>1610</v>
      </c>
      <c r="F739" s="4">
        <v>2015</v>
      </c>
      <c r="G739" s="4" t="s">
        <v>901</v>
      </c>
      <c r="H739" s="6">
        <v>0</v>
      </c>
      <c r="I739" s="6" t="s">
        <v>97</v>
      </c>
    </row>
    <row r="740" spans="2:9" hidden="1" x14ac:dyDescent="0.25">
      <c r="B740" s="4" t="s">
        <v>1012</v>
      </c>
      <c r="C740" s="4" t="s">
        <v>1192</v>
      </c>
      <c r="D740" s="4" t="s">
        <v>919</v>
      </c>
      <c r="E740" s="4" t="s">
        <v>1259</v>
      </c>
      <c r="F740" s="4">
        <v>2015</v>
      </c>
      <c r="G740" s="4" t="s">
        <v>901</v>
      </c>
      <c r="H740" s="6">
        <v>0</v>
      </c>
      <c r="I740" s="6" t="s">
        <v>97</v>
      </c>
    </row>
    <row r="741" spans="2:9" hidden="1" x14ac:dyDescent="0.25">
      <c r="B741" s="4" t="s">
        <v>1013</v>
      </c>
      <c r="C741" s="4" t="s">
        <v>1193</v>
      </c>
      <c r="D741" s="4" t="s">
        <v>919</v>
      </c>
      <c r="E741" s="4" t="s">
        <v>1259</v>
      </c>
      <c r="F741" s="4">
        <v>2015</v>
      </c>
      <c r="G741" s="4" t="s">
        <v>901</v>
      </c>
      <c r="H741" s="6">
        <v>0</v>
      </c>
      <c r="I741" s="6" t="s">
        <v>97</v>
      </c>
    </row>
    <row r="742" spans="2:9" x14ac:dyDescent="0.25">
      <c r="B742" s="4" t="s">
        <v>1380</v>
      </c>
      <c r="C742" s="4" t="s">
        <v>1194</v>
      </c>
      <c r="D742" s="4" t="s">
        <v>919</v>
      </c>
      <c r="E742" s="4" t="s">
        <v>1259</v>
      </c>
      <c r="F742" s="4">
        <v>2015</v>
      </c>
      <c r="G742" s="4" t="s">
        <v>901</v>
      </c>
      <c r="H742" s="6">
        <v>1</v>
      </c>
      <c r="I742" s="6" t="s">
        <v>97</v>
      </c>
    </row>
    <row r="743" spans="2:9" hidden="1" x14ac:dyDescent="0.25">
      <c r="B743" s="4" t="s">
        <v>1014</v>
      </c>
      <c r="C743" s="4" t="s">
        <v>1195</v>
      </c>
      <c r="D743" s="4" t="s">
        <v>919</v>
      </c>
      <c r="E743" s="4" t="s">
        <v>1259</v>
      </c>
      <c r="F743" s="4">
        <v>2015</v>
      </c>
      <c r="G743" s="4" t="s">
        <v>901</v>
      </c>
      <c r="H743" s="6">
        <v>0</v>
      </c>
      <c r="I743" s="6" t="s">
        <v>97</v>
      </c>
    </row>
    <row r="744" spans="2:9" hidden="1" x14ac:dyDescent="0.25">
      <c r="B744" s="4" t="s">
        <v>1015</v>
      </c>
      <c r="C744" s="4" t="s">
        <v>1196</v>
      </c>
      <c r="D744" s="4" t="s">
        <v>919</v>
      </c>
      <c r="E744" s="4" t="s">
        <v>1259</v>
      </c>
      <c r="F744" s="4">
        <v>2015</v>
      </c>
      <c r="G744" s="4" t="s">
        <v>901</v>
      </c>
      <c r="H744" s="6">
        <v>0</v>
      </c>
      <c r="I744" s="6" t="s">
        <v>97</v>
      </c>
    </row>
    <row r="745" spans="2:9" hidden="1" x14ac:dyDescent="0.25">
      <c r="B745" s="4" t="s">
        <v>1016</v>
      </c>
      <c r="C745" s="4" t="s">
        <v>1197</v>
      </c>
      <c r="D745" s="4" t="s">
        <v>919</v>
      </c>
      <c r="E745" s="4" t="s">
        <v>1388</v>
      </c>
      <c r="F745" s="4">
        <v>2015</v>
      </c>
      <c r="G745" s="4" t="s">
        <v>901</v>
      </c>
      <c r="H745" s="6">
        <v>0</v>
      </c>
      <c r="I745" s="6" t="s">
        <v>97</v>
      </c>
    </row>
    <row r="746" spans="2:9" hidden="1" x14ac:dyDescent="0.25">
      <c r="B746" s="4" t="s">
        <v>1017</v>
      </c>
      <c r="C746" s="4" t="s">
        <v>1232</v>
      </c>
      <c r="D746" s="4" t="s">
        <v>919</v>
      </c>
      <c r="E746" s="4" t="s">
        <v>920</v>
      </c>
      <c r="F746" s="4">
        <v>2015</v>
      </c>
      <c r="G746" s="4" t="s">
        <v>901</v>
      </c>
      <c r="H746" s="6">
        <v>0</v>
      </c>
      <c r="I746" s="6" t="s">
        <v>97</v>
      </c>
    </row>
    <row r="747" spans="2:9" hidden="1" x14ac:dyDescent="0.25">
      <c r="B747" s="4" t="s">
        <v>1018</v>
      </c>
      <c r="C747" s="4" t="s">
        <v>1198</v>
      </c>
      <c r="D747" s="4" t="s">
        <v>919</v>
      </c>
      <c r="E747" s="4" t="s">
        <v>1259</v>
      </c>
      <c r="F747" s="4">
        <v>2015</v>
      </c>
      <c r="G747" s="4" t="s">
        <v>901</v>
      </c>
      <c r="H747" s="6">
        <v>0</v>
      </c>
      <c r="I747" s="6" t="s">
        <v>97</v>
      </c>
    </row>
    <row r="748" spans="2:9" hidden="1" x14ac:dyDescent="0.25">
      <c r="B748" s="4" t="s">
        <v>1019</v>
      </c>
      <c r="C748" s="4" t="s">
        <v>1199</v>
      </c>
      <c r="D748" s="4" t="s">
        <v>919</v>
      </c>
      <c r="E748" s="4" t="s">
        <v>1259</v>
      </c>
      <c r="F748" s="4">
        <v>2015</v>
      </c>
      <c r="G748" s="4" t="s">
        <v>901</v>
      </c>
      <c r="H748" s="6">
        <v>0</v>
      </c>
      <c r="I748" s="6" t="s">
        <v>97</v>
      </c>
    </row>
    <row r="749" spans="2:9" hidden="1" x14ac:dyDescent="0.25">
      <c r="B749" s="4" t="s">
        <v>1020</v>
      </c>
      <c r="C749" s="4" t="s">
        <v>1244</v>
      </c>
      <c r="D749" s="4" t="s">
        <v>919</v>
      </c>
      <c r="E749" s="4" t="s">
        <v>1610</v>
      </c>
      <c r="F749" s="4">
        <v>2015</v>
      </c>
      <c r="G749" s="4" t="s">
        <v>901</v>
      </c>
      <c r="H749" s="6">
        <v>0</v>
      </c>
      <c r="I749" s="6" t="s">
        <v>97</v>
      </c>
    </row>
    <row r="750" spans="2:9" hidden="1" x14ac:dyDescent="0.25">
      <c r="B750" s="4" t="s">
        <v>1021</v>
      </c>
      <c r="C750" s="4" t="s">
        <v>1282</v>
      </c>
      <c r="D750" s="4" t="s">
        <v>919</v>
      </c>
      <c r="E750" s="4" t="s">
        <v>1610</v>
      </c>
      <c r="F750" s="4">
        <v>2015</v>
      </c>
      <c r="G750" s="4" t="s">
        <v>901</v>
      </c>
      <c r="H750" s="6">
        <v>0</v>
      </c>
      <c r="I750" s="6" t="s">
        <v>97</v>
      </c>
    </row>
    <row r="751" spans="2:9" hidden="1" x14ac:dyDescent="0.25">
      <c r="B751" s="4" t="s">
        <v>1022</v>
      </c>
      <c r="C751" s="4" t="s">
        <v>1283</v>
      </c>
      <c r="D751" s="4" t="s">
        <v>919</v>
      </c>
      <c r="E751" s="4" t="s">
        <v>1610</v>
      </c>
      <c r="F751" s="4">
        <v>2015</v>
      </c>
      <c r="G751" s="4" t="s">
        <v>901</v>
      </c>
      <c r="H751" s="6">
        <v>0</v>
      </c>
      <c r="I751" s="6" t="s">
        <v>97</v>
      </c>
    </row>
    <row r="752" spans="2:9" hidden="1" x14ac:dyDescent="0.25">
      <c r="B752" s="4" t="s">
        <v>1023</v>
      </c>
      <c r="C752" s="4" t="s">
        <v>1284</v>
      </c>
      <c r="D752" s="4" t="s">
        <v>919</v>
      </c>
      <c r="E752" s="4" t="s">
        <v>1610</v>
      </c>
      <c r="F752" s="4">
        <v>2015</v>
      </c>
      <c r="G752" s="4" t="s">
        <v>901</v>
      </c>
      <c r="H752" s="6">
        <v>0</v>
      </c>
      <c r="I752" s="6" t="s">
        <v>97</v>
      </c>
    </row>
    <row r="753" spans="2:9" hidden="1" x14ac:dyDescent="0.25">
      <c r="B753" s="4" t="s">
        <v>1024</v>
      </c>
      <c r="C753" s="4" t="s">
        <v>1285</v>
      </c>
      <c r="D753" s="4" t="s">
        <v>919</v>
      </c>
      <c r="E753" s="4" t="s">
        <v>1610</v>
      </c>
      <c r="F753" s="4">
        <v>2015</v>
      </c>
      <c r="G753" s="4" t="s">
        <v>901</v>
      </c>
      <c r="H753" s="6">
        <v>0</v>
      </c>
      <c r="I753" s="6" t="s">
        <v>97</v>
      </c>
    </row>
    <row r="754" spans="2:9" hidden="1" x14ac:dyDescent="0.25">
      <c r="B754" s="4" t="s">
        <v>1025</v>
      </c>
      <c r="C754" s="4" t="s">
        <v>1246</v>
      </c>
      <c r="D754" s="4" t="s">
        <v>919</v>
      </c>
      <c r="E754" s="4" t="s">
        <v>1610</v>
      </c>
      <c r="F754" s="4">
        <v>2015</v>
      </c>
      <c r="G754" s="4" t="s">
        <v>901</v>
      </c>
      <c r="H754" s="6">
        <v>0</v>
      </c>
      <c r="I754" s="6" t="s">
        <v>97</v>
      </c>
    </row>
    <row r="755" spans="2:9" hidden="1" x14ac:dyDescent="0.25">
      <c r="B755" s="4" t="s">
        <v>1026</v>
      </c>
      <c r="C755" s="4" t="s">
        <v>1286</v>
      </c>
      <c r="D755" s="4" t="s">
        <v>919</v>
      </c>
      <c r="E755" s="4" t="s">
        <v>1610</v>
      </c>
      <c r="F755" s="4">
        <v>2015</v>
      </c>
      <c r="G755" s="4" t="s">
        <v>901</v>
      </c>
      <c r="H755" s="6">
        <v>0</v>
      </c>
      <c r="I755" s="6" t="s">
        <v>97</v>
      </c>
    </row>
    <row r="756" spans="2:9" hidden="1" x14ac:dyDescent="0.25">
      <c r="B756" s="4" t="s">
        <v>1027</v>
      </c>
      <c r="C756" s="4" t="s">
        <v>1247</v>
      </c>
      <c r="D756" s="4" t="s">
        <v>919</v>
      </c>
      <c r="E756" s="4" t="s">
        <v>1610</v>
      </c>
      <c r="F756" s="4">
        <v>2015</v>
      </c>
      <c r="G756" s="4" t="s">
        <v>901</v>
      </c>
      <c r="H756" s="6">
        <v>0</v>
      </c>
      <c r="I756" s="6" t="s">
        <v>97</v>
      </c>
    </row>
    <row r="757" spans="2:9" hidden="1" x14ac:dyDescent="0.25">
      <c r="B757" s="4" t="s">
        <v>1028</v>
      </c>
      <c r="C757" s="4" t="s">
        <v>1245</v>
      </c>
      <c r="D757" s="4" t="s">
        <v>919</v>
      </c>
      <c r="E757" s="4" t="s">
        <v>1610</v>
      </c>
      <c r="F757" s="4">
        <v>2015</v>
      </c>
      <c r="G757" s="4" t="s">
        <v>901</v>
      </c>
      <c r="H757" s="6">
        <v>0</v>
      </c>
      <c r="I757" s="6" t="s">
        <v>97</v>
      </c>
    </row>
    <row r="758" spans="2:9" hidden="1" x14ac:dyDescent="0.25">
      <c r="B758" s="4" t="s">
        <v>1029</v>
      </c>
      <c r="C758" s="4" t="s">
        <v>1287</v>
      </c>
      <c r="D758" s="4" t="s">
        <v>919</v>
      </c>
      <c r="E758" s="4" t="s">
        <v>1610</v>
      </c>
      <c r="F758" s="4">
        <v>2015</v>
      </c>
      <c r="G758" s="4" t="s">
        <v>901</v>
      </c>
      <c r="H758" s="6">
        <v>0</v>
      </c>
      <c r="I758" s="6" t="s">
        <v>97</v>
      </c>
    </row>
    <row r="759" spans="2:9" hidden="1" x14ac:dyDescent="0.25">
      <c r="B759" s="4" t="s">
        <v>1030</v>
      </c>
      <c r="C759" s="4" t="s">
        <v>1288</v>
      </c>
      <c r="D759" s="4" t="s">
        <v>919</v>
      </c>
      <c r="E759" s="4" t="s">
        <v>1610</v>
      </c>
      <c r="F759" s="4">
        <v>2015</v>
      </c>
      <c r="G759" s="4" t="s">
        <v>901</v>
      </c>
      <c r="H759" s="6">
        <v>0</v>
      </c>
      <c r="I759" s="6" t="s">
        <v>97</v>
      </c>
    </row>
    <row r="760" spans="2:9" hidden="1" x14ac:dyDescent="0.25">
      <c r="B760" s="4" t="s">
        <v>1031</v>
      </c>
      <c r="C760" s="4" t="s">
        <v>1248</v>
      </c>
      <c r="D760" s="4" t="s">
        <v>919</v>
      </c>
      <c r="E760" s="4" t="s">
        <v>1610</v>
      </c>
      <c r="F760" s="4">
        <v>2015</v>
      </c>
      <c r="G760" s="4" t="s">
        <v>901</v>
      </c>
      <c r="H760" s="6">
        <v>0</v>
      </c>
      <c r="I760" s="6" t="s">
        <v>97</v>
      </c>
    </row>
    <row r="761" spans="2:9" x14ac:dyDescent="0.25">
      <c r="B761" s="4" t="s">
        <v>1032</v>
      </c>
      <c r="C761" s="4" t="s">
        <v>1650</v>
      </c>
      <c r="D761" s="4" t="s">
        <v>1236</v>
      </c>
      <c r="E761" s="4" t="s">
        <v>1651</v>
      </c>
      <c r="F761" s="4">
        <v>2015</v>
      </c>
      <c r="G761" s="4" t="s">
        <v>901</v>
      </c>
      <c r="H761" s="6">
        <v>1</v>
      </c>
      <c r="I761" s="6" t="s">
        <v>97</v>
      </c>
    </row>
    <row r="762" spans="2:9" hidden="1" x14ac:dyDescent="0.25">
      <c r="B762" s="4" t="s">
        <v>1033</v>
      </c>
      <c r="C762" s="4" t="s">
        <v>1200</v>
      </c>
      <c r="D762" s="4" t="s">
        <v>919</v>
      </c>
      <c r="E762" s="4" t="s">
        <v>1610</v>
      </c>
      <c r="F762" s="4">
        <v>2015</v>
      </c>
      <c r="G762" s="4" t="s">
        <v>901</v>
      </c>
      <c r="H762" s="6">
        <v>0</v>
      </c>
      <c r="I762" s="6" t="s">
        <v>97</v>
      </c>
    </row>
    <row r="763" spans="2:9" x14ac:dyDescent="0.25">
      <c r="B763" s="4" t="s">
        <v>1034</v>
      </c>
      <c r="C763" s="4" t="s">
        <v>1233</v>
      </c>
      <c r="D763" s="4" t="s">
        <v>919</v>
      </c>
      <c r="E763" s="4" t="s">
        <v>920</v>
      </c>
      <c r="F763" s="4">
        <v>2015</v>
      </c>
      <c r="G763" s="4" t="s">
        <v>901</v>
      </c>
      <c r="H763" s="6">
        <v>1</v>
      </c>
      <c r="I763" s="6" t="s">
        <v>97</v>
      </c>
    </row>
    <row r="764" spans="2:9" hidden="1" x14ac:dyDescent="0.25">
      <c r="B764" s="4" t="s">
        <v>441</v>
      </c>
      <c r="C764" s="4" t="s">
        <v>1649</v>
      </c>
      <c r="D764" s="4" t="s">
        <v>919</v>
      </c>
      <c r="E764" s="4" t="s">
        <v>920</v>
      </c>
      <c r="F764" s="4">
        <v>2015</v>
      </c>
      <c r="G764" s="4" t="s">
        <v>901</v>
      </c>
      <c r="H764" s="6">
        <v>0</v>
      </c>
      <c r="I764" s="6" t="s">
        <v>97</v>
      </c>
    </row>
    <row r="765" spans="2:9" x14ac:dyDescent="0.25">
      <c r="B765" s="4" t="s">
        <v>1035</v>
      </c>
      <c r="C765" s="4" t="s">
        <v>1035</v>
      </c>
      <c r="D765" s="4" t="s">
        <v>1236</v>
      </c>
      <c r="E765" s="4" t="s">
        <v>1651</v>
      </c>
      <c r="F765" s="4">
        <v>2015</v>
      </c>
      <c r="G765" s="4" t="s">
        <v>901</v>
      </c>
      <c r="H765" s="6">
        <v>1</v>
      </c>
      <c r="I765" s="6" t="s">
        <v>97</v>
      </c>
    </row>
    <row r="766" spans="2:9" x14ac:dyDescent="0.25">
      <c r="B766" s="4" t="s">
        <v>1036</v>
      </c>
      <c r="C766" s="4" t="s">
        <v>1036</v>
      </c>
      <c r="D766" s="4" t="s">
        <v>919</v>
      </c>
      <c r="E766" s="4" t="s">
        <v>1259</v>
      </c>
      <c r="F766" s="4">
        <v>2015</v>
      </c>
      <c r="G766" s="4" t="s">
        <v>901</v>
      </c>
      <c r="H766" s="6">
        <v>1</v>
      </c>
      <c r="I766" s="6" t="s">
        <v>97</v>
      </c>
    </row>
    <row r="767" spans="2:9" hidden="1" x14ac:dyDescent="0.25">
      <c r="B767" s="4" t="s">
        <v>1037</v>
      </c>
      <c r="C767" s="4" t="s">
        <v>1201</v>
      </c>
      <c r="D767" s="4" t="s">
        <v>919</v>
      </c>
      <c r="E767" s="4" t="s">
        <v>1259</v>
      </c>
      <c r="F767" s="4">
        <v>2015</v>
      </c>
      <c r="G767" s="4" t="s">
        <v>901</v>
      </c>
      <c r="H767" s="6">
        <v>0</v>
      </c>
      <c r="I767" s="6" t="s">
        <v>97</v>
      </c>
    </row>
    <row r="768" spans="2:9" x14ac:dyDescent="0.25">
      <c r="B768" s="4" t="s">
        <v>1038</v>
      </c>
      <c r="C768" s="4" t="s">
        <v>1202</v>
      </c>
      <c r="D768" s="4" t="s">
        <v>919</v>
      </c>
      <c r="E768" s="4" t="s">
        <v>1259</v>
      </c>
      <c r="F768" s="4">
        <v>2015</v>
      </c>
      <c r="G768" s="4" t="s">
        <v>901</v>
      </c>
      <c r="H768" s="6">
        <v>1</v>
      </c>
      <c r="I768" s="6" t="s">
        <v>97</v>
      </c>
    </row>
    <row r="769" spans="2:9" x14ac:dyDescent="0.25">
      <c r="B769" s="4" t="s">
        <v>1381</v>
      </c>
      <c r="C769" s="4" t="s">
        <v>1221</v>
      </c>
      <c r="D769" s="4" t="s">
        <v>919</v>
      </c>
      <c r="E769" s="4" t="s">
        <v>1264</v>
      </c>
      <c r="F769" s="4">
        <v>2015</v>
      </c>
      <c r="G769" s="4" t="s">
        <v>901</v>
      </c>
      <c r="H769" s="6">
        <v>1</v>
      </c>
      <c r="I769" s="6" t="s">
        <v>97</v>
      </c>
    </row>
    <row r="770" spans="2:9" hidden="1" x14ac:dyDescent="0.25">
      <c r="B770" s="4" t="s">
        <v>1039</v>
      </c>
      <c r="C770" s="4" t="s">
        <v>1203</v>
      </c>
      <c r="D770" s="4" t="s">
        <v>919</v>
      </c>
      <c r="E770" s="4" t="s">
        <v>1610</v>
      </c>
      <c r="F770" s="4">
        <v>2015</v>
      </c>
      <c r="G770" s="4" t="s">
        <v>901</v>
      </c>
      <c r="H770" s="6">
        <v>0</v>
      </c>
      <c r="I770" s="6" t="s">
        <v>97</v>
      </c>
    </row>
    <row r="771" spans="2:9" hidden="1" x14ac:dyDescent="0.25">
      <c r="B771" s="4" t="s">
        <v>1040</v>
      </c>
      <c r="C771" s="4" t="s">
        <v>1256</v>
      </c>
      <c r="D771" s="4" t="s">
        <v>919</v>
      </c>
      <c r="E771" s="4" t="s">
        <v>1253</v>
      </c>
      <c r="F771" s="4">
        <v>2015</v>
      </c>
      <c r="G771" s="4" t="s">
        <v>901</v>
      </c>
      <c r="H771" s="6">
        <v>0</v>
      </c>
      <c r="I771" s="6" t="s">
        <v>97</v>
      </c>
    </row>
    <row r="772" spans="2:9" hidden="1" x14ac:dyDescent="0.25">
      <c r="B772" s="4" t="s">
        <v>1382</v>
      </c>
      <c r="C772" s="4" t="s">
        <v>1204</v>
      </c>
      <c r="D772" s="4" t="s">
        <v>919</v>
      </c>
      <c r="E772" s="4" t="s">
        <v>1223</v>
      </c>
      <c r="F772" s="4">
        <v>2015</v>
      </c>
      <c r="G772" s="4" t="s">
        <v>901</v>
      </c>
      <c r="H772" s="6">
        <v>0</v>
      </c>
      <c r="I772" s="6" t="s">
        <v>97</v>
      </c>
    </row>
    <row r="773" spans="2:9" hidden="1" x14ac:dyDescent="0.25">
      <c r="B773" s="4" t="s">
        <v>1383</v>
      </c>
      <c r="C773" s="4" t="s">
        <v>1205</v>
      </c>
      <c r="D773" s="4" t="s">
        <v>919</v>
      </c>
      <c r="E773" s="4" t="s">
        <v>1223</v>
      </c>
      <c r="F773" s="4">
        <v>2015</v>
      </c>
      <c r="G773" s="4" t="s">
        <v>901</v>
      </c>
      <c r="H773" s="6">
        <v>0</v>
      </c>
      <c r="I773" s="6" t="s">
        <v>97</v>
      </c>
    </row>
    <row r="774" spans="2:9" hidden="1" x14ac:dyDescent="0.25">
      <c r="B774" s="4" t="s">
        <v>1384</v>
      </c>
      <c r="C774" s="4" t="s">
        <v>1206</v>
      </c>
      <c r="D774" s="4" t="s">
        <v>919</v>
      </c>
      <c r="E774" s="4" t="s">
        <v>1223</v>
      </c>
      <c r="F774" s="4">
        <v>2015</v>
      </c>
      <c r="G774" s="4" t="s">
        <v>901</v>
      </c>
      <c r="H774" s="6">
        <v>0</v>
      </c>
      <c r="I774" s="6" t="s">
        <v>97</v>
      </c>
    </row>
    <row r="775" spans="2:9" x14ac:dyDescent="0.25">
      <c r="B775" s="4" t="s">
        <v>1041</v>
      </c>
      <c r="C775" s="4" t="s">
        <v>1041</v>
      </c>
      <c r="D775" s="4" t="s">
        <v>919</v>
      </c>
      <c r="E775" s="4" t="s">
        <v>1388</v>
      </c>
      <c r="F775" s="4">
        <v>2015</v>
      </c>
      <c r="G775" s="4" t="s">
        <v>901</v>
      </c>
      <c r="H775" s="6">
        <v>1</v>
      </c>
      <c r="I775" s="6" t="s">
        <v>97</v>
      </c>
    </row>
    <row r="776" spans="2:9" x14ac:dyDescent="0.25">
      <c r="B776" s="4" t="s">
        <v>1042</v>
      </c>
      <c r="C776" s="4" t="s">
        <v>1042</v>
      </c>
      <c r="D776" s="4" t="s">
        <v>919</v>
      </c>
      <c r="E776" s="4" t="s">
        <v>1239</v>
      </c>
      <c r="F776" s="4">
        <v>2015</v>
      </c>
      <c r="G776" s="4" t="s">
        <v>901</v>
      </c>
      <c r="H776" s="6">
        <v>1</v>
      </c>
      <c r="I776" s="6" t="s">
        <v>97</v>
      </c>
    </row>
    <row r="777" spans="2:9" hidden="1" x14ac:dyDescent="0.25">
      <c r="B777" s="4" t="s">
        <v>1043</v>
      </c>
      <c r="C777" s="4" t="s">
        <v>1611</v>
      </c>
      <c r="D777" s="4" t="s">
        <v>919</v>
      </c>
      <c r="E777" s="4" t="s">
        <v>1610</v>
      </c>
      <c r="F777" s="4">
        <v>2015</v>
      </c>
      <c r="G777" s="4" t="s">
        <v>901</v>
      </c>
      <c r="H777" s="6">
        <v>0</v>
      </c>
      <c r="I777" s="6" t="s">
        <v>97</v>
      </c>
    </row>
    <row r="778" spans="2:9" hidden="1" x14ac:dyDescent="0.25">
      <c r="B778" s="4" t="s">
        <v>1207</v>
      </c>
      <c r="C778" s="4" t="s">
        <v>1290</v>
      </c>
      <c r="D778" s="4" t="s">
        <v>919</v>
      </c>
      <c r="E778" s="4" t="s">
        <v>1388</v>
      </c>
      <c r="F778" s="4">
        <v>2015</v>
      </c>
      <c r="G778" s="4" t="s">
        <v>901</v>
      </c>
      <c r="H778" s="6">
        <v>0</v>
      </c>
      <c r="I778" s="6" t="s">
        <v>97</v>
      </c>
    </row>
    <row r="779" spans="2:9" x14ac:dyDescent="0.25">
      <c r="B779" s="4" t="s">
        <v>14</v>
      </c>
      <c r="C779" s="4" t="s">
        <v>1208</v>
      </c>
      <c r="D779" s="4" t="s">
        <v>919</v>
      </c>
      <c r="E779" s="4" t="s">
        <v>1388</v>
      </c>
      <c r="F779" s="4">
        <v>2015</v>
      </c>
      <c r="G779" s="4" t="s">
        <v>901</v>
      </c>
      <c r="H779" s="6">
        <v>1</v>
      </c>
      <c r="I779" s="6" t="s">
        <v>97</v>
      </c>
    </row>
    <row r="780" spans="2:9" x14ac:dyDescent="0.25">
      <c r="B780" s="4" t="s">
        <v>13</v>
      </c>
      <c r="C780" s="4" t="s">
        <v>1439</v>
      </c>
      <c r="D780" s="4" t="s">
        <v>919</v>
      </c>
      <c r="E780" s="4" t="s">
        <v>1388</v>
      </c>
      <c r="F780" s="4">
        <v>2015</v>
      </c>
      <c r="G780" s="4" t="s">
        <v>901</v>
      </c>
      <c r="H780" s="6">
        <v>1</v>
      </c>
      <c r="I780" s="6" t="s">
        <v>97</v>
      </c>
    </row>
    <row r="781" spans="2:9" x14ac:dyDescent="0.25">
      <c r="B781" s="4" t="s">
        <v>1209</v>
      </c>
      <c r="C781" s="4" t="s">
        <v>1209</v>
      </c>
      <c r="D781" s="4" t="s">
        <v>919</v>
      </c>
      <c r="E781" s="4" t="s">
        <v>1229</v>
      </c>
      <c r="F781" s="4">
        <v>2015</v>
      </c>
      <c r="G781" s="4" t="s">
        <v>901</v>
      </c>
      <c r="H781" s="6">
        <v>1</v>
      </c>
      <c r="I781" s="6" t="s">
        <v>97</v>
      </c>
    </row>
    <row r="782" spans="2:9" x14ac:dyDescent="0.25">
      <c r="B782" s="4" t="s">
        <v>433</v>
      </c>
      <c r="C782" s="4" t="s">
        <v>433</v>
      </c>
      <c r="D782" s="4" t="s">
        <v>919</v>
      </c>
      <c r="E782" s="4" t="s">
        <v>920</v>
      </c>
      <c r="F782" s="4">
        <v>2015</v>
      </c>
      <c r="G782" s="4" t="s">
        <v>901</v>
      </c>
      <c r="H782" s="6">
        <v>1</v>
      </c>
      <c r="I782" s="6" t="s">
        <v>97</v>
      </c>
    </row>
    <row r="783" spans="2:9" hidden="1" x14ac:dyDescent="0.25">
      <c r="B783" s="4" t="s">
        <v>1210</v>
      </c>
      <c r="C783" s="4" t="s">
        <v>1211</v>
      </c>
      <c r="D783" s="4" t="s">
        <v>919</v>
      </c>
      <c r="E783" s="4" t="s">
        <v>1259</v>
      </c>
      <c r="F783" s="4">
        <v>2015</v>
      </c>
      <c r="G783" s="4" t="s">
        <v>901</v>
      </c>
      <c r="H783" s="6">
        <v>0</v>
      </c>
      <c r="I783" s="6" t="s">
        <v>97</v>
      </c>
    </row>
    <row r="784" spans="2:9" hidden="1" x14ac:dyDescent="0.25">
      <c r="B784" s="4" t="s">
        <v>1212</v>
      </c>
      <c r="C784" s="4" t="s">
        <v>1213</v>
      </c>
      <c r="D784" s="4" t="s">
        <v>919</v>
      </c>
      <c r="E784" s="4" t="s">
        <v>1239</v>
      </c>
      <c r="F784" s="4">
        <v>2015</v>
      </c>
      <c r="G784" s="4" t="s">
        <v>901</v>
      </c>
      <c r="H784" s="6">
        <v>0</v>
      </c>
      <c r="I784" s="6" t="s">
        <v>97</v>
      </c>
    </row>
    <row r="785" spans="2:9" x14ac:dyDescent="0.25">
      <c r="B785" s="4" t="s">
        <v>1214</v>
      </c>
      <c r="C785" s="4" t="s">
        <v>1279</v>
      </c>
      <c r="D785" s="4" t="s">
        <v>919</v>
      </c>
      <c r="E785" s="4" t="s">
        <v>1239</v>
      </c>
      <c r="F785" s="4">
        <v>2015</v>
      </c>
      <c r="G785" s="4" t="s">
        <v>901</v>
      </c>
      <c r="H785" s="6">
        <v>1</v>
      </c>
      <c r="I785" s="6" t="s">
        <v>97</v>
      </c>
    </row>
    <row r="786" spans="2:9" x14ac:dyDescent="0.25">
      <c r="B786" s="4" t="s">
        <v>1215</v>
      </c>
      <c r="C786" s="4" t="s">
        <v>1280</v>
      </c>
      <c r="D786" s="4" t="s">
        <v>919</v>
      </c>
      <c r="E786" s="4" t="s">
        <v>1239</v>
      </c>
      <c r="F786" s="4">
        <v>2015</v>
      </c>
      <c r="G786" s="4" t="s">
        <v>901</v>
      </c>
      <c r="H786" s="6">
        <v>1</v>
      </c>
      <c r="I786" s="6" t="s">
        <v>97</v>
      </c>
    </row>
    <row r="787" spans="2:9" x14ac:dyDescent="0.25">
      <c r="B787" s="4" t="s">
        <v>1216</v>
      </c>
      <c r="C787" s="4" t="s">
        <v>1281</v>
      </c>
      <c r="D787" s="4" t="s">
        <v>919</v>
      </c>
      <c r="E787" s="4" t="s">
        <v>1239</v>
      </c>
      <c r="F787" s="4">
        <v>2015</v>
      </c>
      <c r="G787" s="4" t="s">
        <v>901</v>
      </c>
      <c r="H787" s="6">
        <v>1</v>
      </c>
      <c r="I787" s="6" t="s">
        <v>97</v>
      </c>
    </row>
    <row r="788" spans="2:9" x14ac:dyDescent="0.25">
      <c r="B788" s="4" t="s">
        <v>1587</v>
      </c>
      <c r="C788" s="4" t="s">
        <v>1597</v>
      </c>
      <c r="D788" s="4" t="s">
        <v>919</v>
      </c>
      <c r="E788" s="4" t="s">
        <v>1621</v>
      </c>
      <c r="F788" s="4">
        <v>2013</v>
      </c>
      <c r="G788" s="4" t="s">
        <v>1609</v>
      </c>
      <c r="H788" s="6">
        <v>1</v>
      </c>
      <c r="I788" s="6" t="s">
        <v>1515</v>
      </c>
    </row>
    <row r="789" spans="2:9" x14ac:dyDescent="0.25">
      <c r="B789" s="4" t="s">
        <v>1588</v>
      </c>
      <c r="C789" s="4" t="s">
        <v>1598</v>
      </c>
      <c r="D789" s="4" t="s">
        <v>919</v>
      </c>
      <c r="E789" s="4" t="s">
        <v>1621</v>
      </c>
      <c r="F789" s="4">
        <v>2013</v>
      </c>
      <c r="G789" s="4" t="s">
        <v>1609</v>
      </c>
      <c r="H789" s="6">
        <v>1</v>
      </c>
      <c r="I789" s="6" t="s">
        <v>1515</v>
      </c>
    </row>
    <row r="790" spans="2:9" x14ac:dyDescent="0.25">
      <c r="B790" s="4" t="s">
        <v>1589</v>
      </c>
      <c r="C790" s="4" t="s">
        <v>1599</v>
      </c>
      <c r="D790" s="4" t="s">
        <v>919</v>
      </c>
      <c r="E790" s="4" t="s">
        <v>1621</v>
      </c>
      <c r="F790" s="4">
        <v>2013</v>
      </c>
      <c r="G790" s="4" t="s">
        <v>1609</v>
      </c>
      <c r="H790" s="6">
        <v>1</v>
      </c>
      <c r="I790" s="6" t="s">
        <v>1515</v>
      </c>
    </row>
    <row r="791" spans="2:9" x14ac:dyDescent="0.25">
      <c r="B791" s="4" t="s">
        <v>1590</v>
      </c>
      <c r="C791" s="4" t="s">
        <v>1600</v>
      </c>
      <c r="D791" s="4" t="s">
        <v>919</v>
      </c>
      <c r="E791" s="4" t="s">
        <v>1621</v>
      </c>
      <c r="F791" s="4">
        <v>2013</v>
      </c>
      <c r="G791" s="4" t="s">
        <v>1609</v>
      </c>
      <c r="H791" s="6">
        <v>1</v>
      </c>
      <c r="I791" s="6" t="s">
        <v>1515</v>
      </c>
    </row>
    <row r="792" spans="2:9" x14ac:dyDescent="0.25">
      <c r="B792" s="4" t="s">
        <v>1591</v>
      </c>
      <c r="C792" s="4" t="s">
        <v>1601</v>
      </c>
      <c r="D792" s="4" t="s">
        <v>919</v>
      </c>
      <c r="E792" s="4" t="s">
        <v>1621</v>
      </c>
      <c r="F792" s="4">
        <v>2013</v>
      </c>
      <c r="G792" s="4" t="s">
        <v>1609</v>
      </c>
      <c r="H792" s="6">
        <v>1</v>
      </c>
      <c r="I792" s="6" t="s">
        <v>1515</v>
      </c>
    </row>
    <row r="793" spans="2:9" x14ac:dyDescent="0.25">
      <c r="B793" s="4" t="s">
        <v>1592</v>
      </c>
      <c r="C793" s="4" t="s">
        <v>1602</v>
      </c>
      <c r="D793" s="4" t="s">
        <v>919</v>
      </c>
      <c r="E793" s="4" t="s">
        <v>1621</v>
      </c>
      <c r="F793" s="4">
        <v>2013</v>
      </c>
      <c r="G793" s="4" t="s">
        <v>1609</v>
      </c>
      <c r="H793" s="6">
        <v>1</v>
      </c>
      <c r="I793" s="6" t="s">
        <v>1515</v>
      </c>
    </row>
    <row r="794" spans="2:9" x14ac:dyDescent="0.25">
      <c r="B794" s="4" t="s">
        <v>1593</v>
      </c>
      <c r="C794" s="4" t="s">
        <v>1604</v>
      </c>
      <c r="D794" s="4" t="s">
        <v>919</v>
      </c>
      <c r="E794" s="4" t="s">
        <v>1621</v>
      </c>
      <c r="F794" s="4">
        <v>2013</v>
      </c>
      <c r="G794" s="4" t="s">
        <v>1609</v>
      </c>
      <c r="H794" s="6">
        <v>1</v>
      </c>
      <c r="I794" s="6" t="s">
        <v>1515</v>
      </c>
    </row>
    <row r="795" spans="2:9" x14ac:dyDescent="0.25">
      <c r="B795" s="4" t="s">
        <v>1594</v>
      </c>
      <c r="C795" s="4" t="s">
        <v>1605</v>
      </c>
      <c r="D795" s="4" t="s">
        <v>919</v>
      </c>
      <c r="E795" s="4" t="s">
        <v>1621</v>
      </c>
      <c r="F795" s="4">
        <v>2013</v>
      </c>
      <c r="G795" s="4" t="s">
        <v>1609</v>
      </c>
      <c r="H795" s="6">
        <v>1</v>
      </c>
      <c r="I795" s="6" t="s">
        <v>1515</v>
      </c>
    </row>
    <row r="796" spans="2:9" x14ac:dyDescent="0.25">
      <c r="B796" s="4" t="s">
        <v>1595</v>
      </c>
      <c r="C796" s="4" t="s">
        <v>1606</v>
      </c>
      <c r="D796" s="4" t="s">
        <v>919</v>
      </c>
      <c r="E796" s="4" t="s">
        <v>1621</v>
      </c>
      <c r="F796" s="4">
        <v>2013</v>
      </c>
      <c r="G796" s="4" t="s">
        <v>1609</v>
      </c>
      <c r="H796" s="6">
        <v>1</v>
      </c>
      <c r="I796" s="6" t="s">
        <v>1515</v>
      </c>
    </row>
    <row r="797" spans="2:9" x14ac:dyDescent="0.25">
      <c r="B797" s="4" t="s">
        <v>1603</v>
      </c>
      <c r="C797" s="4" t="s">
        <v>1607</v>
      </c>
      <c r="D797" s="4" t="s">
        <v>919</v>
      </c>
      <c r="E797" s="4" t="s">
        <v>1621</v>
      </c>
      <c r="F797" s="4">
        <v>2013</v>
      </c>
      <c r="G797" s="4" t="s">
        <v>1609</v>
      </c>
      <c r="H797" s="6">
        <v>1</v>
      </c>
      <c r="I797" s="6" t="s">
        <v>1515</v>
      </c>
    </row>
    <row r="798" spans="2:9" x14ac:dyDescent="0.25">
      <c r="B798" s="4" t="s">
        <v>1596</v>
      </c>
      <c r="C798" s="4" t="s">
        <v>1608</v>
      </c>
      <c r="D798" s="4" t="s">
        <v>919</v>
      </c>
      <c r="E798" s="4" t="s">
        <v>1621</v>
      </c>
      <c r="F798" s="4">
        <v>2013</v>
      </c>
      <c r="G798" s="4" t="s">
        <v>1609</v>
      </c>
      <c r="H798" s="6">
        <v>1</v>
      </c>
      <c r="I798" s="6" t="s">
        <v>1515</v>
      </c>
    </row>
    <row r="799" spans="2:9" x14ac:dyDescent="0.25">
      <c r="B799" s="4" t="s">
        <v>1710</v>
      </c>
      <c r="C799" s="4" t="s">
        <v>1654</v>
      </c>
      <c r="D799" s="4" t="s">
        <v>1236</v>
      </c>
      <c r="E799" s="4" t="s">
        <v>1709</v>
      </c>
      <c r="F799" s="4">
        <v>2017</v>
      </c>
      <c r="G799" s="4" t="s">
        <v>1638</v>
      </c>
      <c r="H799" s="6">
        <v>1</v>
      </c>
      <c r="I799" s="6" t="s">
        <v>1515</v>
      </c>
    </row>
    <row r="800" spans="2:9" x14ac:dyDescent="0.25">
      <c r="B800" s="4" t="s">
        <v>1711</v>
      </c>
      <c r="C800" s="4" t="s">
        <v>1652</v>
      </c>
      <c r="D800" s="4" t="s">
        <v>1236</v>
      </c>
      <c r="E800" s="4" t="s">
        <v>1709</v>
      </c>
      <c r="F800" s="4">
        <v>2017</v>
      </c>
      <c r="G800" s="4" t="s">
        <v>1638</v>
      </c>
      <c r="H800" s="6">
        <v>1</v>
      </c>
      <c r="I800" s="6" t="s">
        <v>1515</v>
      </c>
    </row>
    <row r="801" spans="2:9" x14ac:dyDescent="0.25">
      <c r="B801" s="4" t="s">
        <v>1712</v>
      </c>
      <c r="C801" s="4" t="s">
        <v>1653</v>
      </c>
      <c r="D801" s="4" t="s">
        <v>1236</v>
      </c>
      <c r="E801" s="4" t="s">
        <v>1709</v>
      </c>
      <c r="F801" s="4">
        <v>2017</v>
      </c>
      <c r="G801" s="4" t="s">
        <v>1638</v>
      </c>
      <c r="H801" s="6">
        <v>1</v>
      </c>
      <c r="I801" s="6" t="s">
        <v>1515</v>
      </c>
    </row>
    <row r="802" spans="2:9" hidden="1" x14ac:dyDescent="0.25">
      <c r="B802" s="4" t="s">
        <v>1655</v>
      </c>
      <c r="C802" s="4" t="s">
        <v>1664</v>
      </c>
      <c r="D802" s="4" t="s">
        <v>1236</v>
      </c>
      <c r="E802" s="4" t="s">
        <v>1661</v>
      </c>
      <c r="F802" s="4">
        <v>2013</v>
      </c>
      <c r="G802" s="4" t="s">
        <v>901</v>
      </c>
      <c r="H802" s="6">
        <v>0</v>
      </c>
      <c r="I802" s="6" t="s">
        <v>1515</v>
      </c>
    </row>
    <row r="803" spans="2:9" hidden="1" x14ac:dyDescent="0.25">
      <c r="B803" s="4" t="s">
        <v>1656</v>
      </c>
      <c r="C803" s="4" t="s">
        <v>1665</v>
      </c>
      <c r="D803" s="4" t="s">
        <v>1236</v>
      </c>
      <c r="E803" s="4" t="s">
        <v>1662</v>
      </c>
      <c r="F803" s="4">
        <v>2013</v>
      </c>
      <c r="G803" s="4" t="s">
        <v>901</v>
      </c>
      <c r="H803" s="6">
        <v>0</v>
      </c>
      <c r="I803" s="6" t="s">
        <v>1515</v>
      </c>
    </row>
    <row r="804" spans="2:9" hidden="1" x14ac:dyDescent="0.25">
      <c r="B804" s="4" t="s">
        <v>1657</v>
      </c>
      <c r="C804" s="4" t="s">
        <v>1669</v>
      </c>
      <c r="D804" s="4" t="s">
        <v>1236</v>
      </c>
      <c r="E804" s="4" t="s">
        <v>1663</v>
      </c>
      <c r="F804" s="4">
        <v>2013</v>
      </c>
      <c r="G804" s="4" t="s">
        <v>901</v>
      </c>
      <c r="H804" s="6">
        <v>0</v>
      </c>
      <c r="I804" s="6" t="s">
        <v>1515</v>
      </c>
    </row>
    <row r="805" spans="2:9" hidden="1" x14ac:dyDescent="0.25">
      <c r="B805" s="4" t="s">
        <v>1658</v>
      </c>
      <c r="C805" s="4" t="s">
        <v>1666</v>
      </c>
      <c r="D805" s="4" t="s">
        <v>1236</v>
      </c>
      <c r="E805" s="4" t="s">
        <v>1661</v>
      </c>
      <c r="F805" s="4">
        <v>2013</v>
      </c>
      <c r="G805" s="4" t="s">
        <v>901</v>
      </c>
      <c r="H805" s="6">
        <v>0</v>
      </c>
      <c r="I805" s="6" t="s">
        <v>1515</v>
      </c>
    </row>
    <row r="806" spans="2:9" hidden="1" x14ac:dyDescent="0.25">
      <c r="B806" s="4" t="s">
        <v>1659</v>
      </c>
      <c r="C806" s="4" t="s">
        <v>1667</v>
      </c>
      <c r="D806" s="4" t="s">
        <v>1236</v>
      </c>
      <c r="E806" s="4" t="s">
        <v>1662</v>
      </c>
      <c r="F806" s="4">
        <v>2013</v>
      </c>
      <c r="G806" s="4" t="s">
        <v>901</v>
      </c>
      <c r="H806" s="6">
        <v>0</v>
      </c>
      <c r="I806" s="6" t="s">
        <v>1515</v>
      </c>
    </row>
    <row r="807" spans="2:9" hidden="1" x14ac:dyDescent="0.25">
      <c r="B807" s="4" t="s">
        <v>1660</v>
      </c>
      <c r="C807" s="4" t="s">
        <v>1668</v>
      </c>
      <c r="D807" s="4" t="s">
        <v>1236</v>
      </c>
      <c r="E807" s="4" t="s">
        <v>1663</v>
      </c>
      <c r="F807" s="4">
        <v>2013</v>
      </c>
      <c r="G807" s="4" t="s">
        <v>901</v>
      </c>
      <c r="H807" s="6">
        <v>0</v>
      </c>
      <c r="I807" s="6" t="s">
        <v>1515</v>
      </c>
    </row>
    <row r="808" spans="2:9" x14ac:dyDescent="0.25">
      <c r="B808" s="4" t="s">
        <v>1672</v>
      </c>
      <c r="C808" s="4" t="s">
        <v>1756</v>
      </c>
      <c r="D808" s="4" t="s">
        <v>918</v>
      </c>
      <c r="E808" s="4" t="s">
        <v>1440</v>
      </c>
      <c r="F808" s="4">
        <v>2012</v>
      </c>
      <c r="G808" s="4" t="s">
        <v>1689</v>
      </c>
      <c r="H808" s="6">
        <v>1</v>
      </c>
      <c r="I808" s="6" t="s">
        <v>1515</v>
      </c>
    </row>
    <row r="809" spans="2:9" x14ac:dyDescent="0.25">
      <c r="B809" s="4" t="s">
        <v>1681</v>
      </c>
      <c r="C809" s="4" t="s">
        <v>1687</v>
      </c>
      <c r="D809" s="4" t="s">
        <v>918</v>
      </c>
      <c r="E809" s="4" t="s">
        <v>1440</v>
      </c>
      <c r="F809" s="4" t="s">
        <v>1688</v>
      </c>
      <c r="G809" s="4" t="s">
        <v>1689</v>
      </c>
      <c r="H809" s="6">
        <v>1</v>
      </c>
      <c r="I809" s="6" t="s">
        <v>1515</v>
      </c>
    </row>
    <row r="810" spans="2:9" x14ac:dyDescent="0.25">
      <c r="B810" s="4" t="s">
        <v>1682</v>
      </c>
      <c r="C810" s="4" t="s">
        <v>1686</v>
      </c>
      <c r="D810" s="4" t="s">
        <v>918</v>
      </c>
      <c r="E810" s="4" t="s">
        <v>1440</v>
      </c>
      <c r="F810" s="4" t="s">
        <v>1688</v>
      </c>
      <c r="G810" s="4" t="s">
        <v>1689</v>
      </c>
      <c r="H810" s="6">
        <v>1</v>
      </c>
      <c r="I810" s="6" t="s">
        <v>1515</v>
      </c>
    </row>
    <row r="811" spans="2:9" x14ac:dyDescent="0.25">
      <c r="B811" s="4" t="s">
        <v>1673</v>
      </c>
      <c r="C811" s="4" t="s">
        <v>1684</v>
      </c>
      <c r="D811" s="4" t="s">
        <v>918</v>
      </c>
      <c r="E811" s="4" t="s">
        <v>1440</v>
      </c>
      <c r="F811" s="4" t="s">
        <v>1688</v>
      </c>
      <c r="G811" s="4" t="s">
        <v>1689</v>
      </c>
      <c r="H811" s="6">
        <v>1</v>
      </c>
      <c r="I811" s="6" t="s">
        <v>1515</v>
      </c>
    </row>
    <row r="812" spans="2:9" x14ac:dyDescent="0.25">
      <c r="B812" s="4" t="s">
        <v>1674</v>
      </c>
      <c r="C812" s="4" t="s">
        <v>1685</v>
      </c>
      <c r="D812" s="4" t="s">
        <v>918</v>
      </c>
      <c r="E812" s="4" t="s">
        <v>1440</v>
      </c>
      <c r="F812" s="4" t="s">
        <v>1688</v>
      </c>
      <c r="G812" s="4" t="s">
        <v>1689</v>
      </c>
      <c r="H812" s="6">
        <v>1</v>
      </c>
      <c r="I812" s="6" t="s">
        <v>1515</v>
      </c>
    </row>
    <row r="813" spans="2:9" x14ac:dyDescent="0.25">
      <c r="B813" s="4" t="s">
        <v>1690</v>
      </c>
      <c r="C813" s="4" t="s">
        <v>1715</v>
      </c>
      <c r="D813" s="4" t="s">
        <v>1401</v>
      </c>
      <c r="E813" s="4" t="s">
        <v>1698</v>
      </c>
      <c r="F813" s="4">
        <v>2017</v>
      </c>
      <c r="G813" s="4" t="s">
        <v>1699</v>
      </c>
      <c r="H813" s="6">
        <v>1</v>
      </c>
      <c r="I813" s="6" t="s">
        <v>97</v>
      </c>
    </row>
    <row r="814" spans="2:9" x14ac:dyDescent="0.25">
      <c r="B814" s="4" t="s">
        <v>1677</v>
      </c>
      <c r="C814" s="4" t="s">
        <v>1692</v>
      </c>
      <c r="D814" s="4" t="s">
        <v>1236</v>
      </c>
      <c r="E814" s="4" t="s">
        <v>1661</v>
      </c>
      <c r="F814" s="4">
        <v>2013</v>
      </c>
      <c r="G814" s="4" t="s">
        <v>901</v>
      </c>
      <c r="H814" s="6">
        <v>1</v>
      </c>
      <c r="I814" s="6" t="s">
        <v>1515</v>
      </c>
    </row>
    <row r="815" spans="2:9" x14ac:dyDescent="0.25">
      <c r="B815" s="4" t="s">
        <v>1678</v>
      </c>
      <c r="C815" s="4" t="s">
        <v>1716</v>
      </c>
      <c r="D815" s="4" t="s">
        <v>1236</v>
      </c>
      <c r="E815" s="4" t="s">
        <v>1663</v>
      </c>
      <c r="F815" s="4">
        <v>2013</v>
      </c>
      <c r="G815" s="4" t="s">
        <v>901</v>
      </c>
      <c r="H815" s="6">
        <v>1</v>
      </c>
      <c r="I815" s="6" t="s">
        <v>1515</v>
      </c>
    </row>
    <row r="816" spans="2:9" hidden="1" x14ac:dyDescent="0.25">
      <c r="B816" s="4" t="s">
        <v>1683</v>
      </c>
      <c r="C816" s="4" t="s">
        <v>1696</v>
      </c>
      <c r="D816" s="4" t="s">
        <v>9</v>
      </c>
      <c r="E816" s="4" t="s">
        <v>1397</v>
      </c>
      <c r="F816" s="4">
        <v>2017</v>
      </c>
      <c r="G816" s="4" t="s">
        <v>1700</v>
      </c>
      <c r="H816" s="6">
        <v>0</v>
      </c>
      <c r="I816" s="6" t="s">
        <v>1515</v>
      </c>
    </row>
    <row r="817" spans="2:9" x14ac:dyDescent="0.25">
      <c r="B817" s="4" t="s">
        <v>1703</v>
      </c>
      <c r="C817" s="4" t="s">
        <v>1704</v>
      </c>
      <c r="D817" s="4" t="s">
        <v>1402</v>
      </c>
      <c r="E817" s="4" t="s">
        <v>6</v>
      </c>
      <c r="F817" s="4">
        <v>2013</v>
      </c>
      <c r="G817" s="4" t="s">
        <v>1705</v>
      </c>
      <c r="H817" s="6">
        <v>1</v>
      </c>
      <c r="I817" s="6" t="s">
        <v>97</v>
      </c>
    </row>
    <row r="818" spans="2:9" x14ac:dyDescent="0.25">
      <c r="B818" s="4" t="s">
        <v>1706</v>
      </c>
      <c r="C818" s="4" t="s">
        <v>1708</v>
      </c>
      <c r="D818" s="4" t="s">
        <v>1402</v>
      </c>
      <c r="E818" s="4" t="s">
        <v>6</v>
      </c>
      <c r="F818" s="4">
        <v>2013</v>
      </c>
      <c r="G818" s="4" t="s">
        <v>1707</v>
      </c>
      <c r="H818" s="6">
        <v>1</v>
      </c>
      <c r="I818" s="6" t="s">
        <v>97</v>
      </c>
    </row>
    <row r="819" spans="2:9" x14ac:dyDescent="0.25">
      <c r="B819" s="4" t="s">
        <v>1718</v>
      </c>
      <c r="C819" s="4" t="s">
        <v>1727</v>
      </c>
      <c r="D819" s="4" t="s">
        <v>918</v>
      </c>
      <c r="E819" s="4" t="s">
        <v>1738</v>
      </c>
      <c r="F819" s="4">
        <v>2010</v>
      </c>
      <c r="G819" s="4" t="s">
        <v>901</v>
      </c>
      <c r="H819" s="6">
        <v>1</v>
      </c>
      <c r="I819" s="6" t="s">
        <v>1515</v>
      </c>
    </row>
    <row r="820" spans="2:9" x14ac:dyDescent="0.25">
      <c r="B820" s="4" t="s">
        <v>1719</v>
      </c>
      <c r="C820" s="4" t="s">
        <v>1728</v>
      </c>
      <c r="D820" s="4" t="s">
        <v>918</v>
      </c>
      <c r="E820" s="4" t="s">
        <v>1738</v>
      </c>
      <c r="F820" s="4"/>
      <c r="G820" s="4" t="s">
        <v>1740</v>
      </c>
      <c r="H820" s="6">
        <v>1</v>
      </c>
      <c r="I820" s="6" t="s">
        <v>1515</v>
      </c>
    </row>
    <row r="821" spans="2:9" x14ac:dyDescent="0.25">
      <c r="B821" s="4" t="s">
        <v>1720</v>
      </c>
      <c r="C821" s="4" t="s">
        <v>1729</v>
      </c>
      <c r="D821" s="4" t="s">
        <v>918</v>
      </c>
      <c r="E821" s="4" t="s">
        <v>1738</v>
      </c>
      <c r="F821" s="4"/>
      <c r="G821" s="4" t="s">
        <v>1740</v>
      </c>
      <c r="H821" s="6">
        <v>1</v>
      </c>
      <c r="I821" s="6" t="s">
        <v>1515</v>
      </c>
    </row>
    <row r="822" spans="2:9" x14ac:dyDescent="0.25">
      <c r="B822" s="4" t="s">
        <v>1721</v>
      </c>
      <c r="C822" s="4" t="s">
        <v>1757</v>
      </c>
      <c r="D822" s="4" t="s">
        <v>1401</v>
      </c>
      <c r="E822" s="4" t="s">
        <v>1536</v>
      </c>
      <c r="F822" s="4">
        <v>2015</v>
      </c>
      <c r="G822" s="4" t="s">
        <v>901</v>
      </c>
      <c r="H822" s="6">
        <v>1</v>
      </c>
      <c r="I822" s="6" t="s">
        <v>1515</v>
      </c>
    </row>
    <row r="823" spans="2:9" x14ac:dyDescent="0.25">
      <c r="B823" s="4" t="s">
        <v>1722</v>
      </c>
      <c r="C823" s="4" t="s">
        <v>1731</v>
      </c>
      <c r="D823" s="4" t="s">
        <v>1401</v>
      </c>
      <c r="E823" s="4" t="s">
        <v>1536</v>
      </c>
      <c r="F823" s="4">
        <v>2015</v>
      </c>
      <c r="G823" s="4" t="s">
        <v>901</v>
      </c>
      <c r="H823" s="6">
        <v>1</v>
      </c>
      <c r="I823" s="6" t="s">
        <v>1515</v>
      </c>
    </row>
    <row r="824" spans="2:9" x14ac:dyDescent="0.25">
      <c r="B824" s="4" t="s">
        <v>1723</v>
      </c>
      <c r="C824" s="4" t="s">
        <v>1744</v>
      </c>
      <c r="D824" s="4" t="s">
        <v>1401</v>
      </c>
      <c r="E824" s="4" t="s">
        <v>1547</v>
      </c>
      <c r="F824" s="4">
        <v>2013</v>
      </c>
      <c r="G824" s="4" t="s">
        <v>1741</v>
      </c>
      <c r="H824" s="6">
        <v>1</v>
      </c>
      <c r="I824" s="6" t="s">
        <v>1515</v>
      </c>
    </row>
    <row r="825" spans="2:9" x14ac:dyDescent="0.25">
      <c r="B825" s="4" t="s">
        <v>1745</v>
      </c>
      <c r="C825" s="4" t="s">
        <v>1743</v>
      </c>
      <c r="D825" s="4" t="s">
        <v>1401</v>
      </c>
      <c r="E825" s="4" t="s">
        <v>1547</v>
      </c>
      <c r="F825" s="4">
        <v>2013</v>
      </c>
      <c r="G825" s="4" t="s">
        <v>901</v>
      </c>
      <c r="H825" s="6">
        <v>1</v>
      </c>
      <c r="I825" s="6" t="s">
        <v>1515</v>
      </c>
    </row>
    <row r="826" spans="2:9" x14ac:dyDescent="0.25">
      <c r="B826" s="4" t="s">
        <v>1725</v>
      </c>
      <c r="C826" s="4" t="s">
        <v>1734</v>
      </c>
      <c r="D826" s="4" t="s">
        <v>918</v>
      </c>
      <c r="E826" s="4" t="s">
        <v>1738</v>
      </c>
      <c r="F826" s="4">
        <v>2010</v>
      </c>
      <c r="G826" s="4" t="s">
        <v>1742</v>
      </c>
      <c r="H826" s="6">
        <v>1</v>
      </c>
      <c r="I826" s="6" t="s">
        <v>1515</v>
      </c>
    </row>
    <row r="827" spans="2:9" x14ac:dyDescent="0.25">
      <c r="B827" s="4" t="s">
        <v>1726</v>
      </c>
      <c r="C827" s="4" t="s">
        <v>1736</v>
      </c>
      <c r="D827" s="4" t="s">
        <v>1236</v>
      </c>
      <c r="E827" s="4" t="s">
        <v>1662</v>
      </c>
      <c r="F827" s="4">
        <v>2013</v>
      </c>
      <c r="G827" s="4" t="s">
        <v>901</v>
      </c>
      <c r="H827" s="6">
        <v>1</v>
      </c>
      <c r="I827" s="6" t="s">
        <v>1515</v>
      </c>
    </row>
    <row r="828" spans="2:9" x14ac:dyDescent="0.25">
      <c r="B828" s="4" t="s">
        <v>1372</v>
      </c>
      <c r="C828" s="4" t="s">
        <v>1735</v>
      </c>
      <c r="D828" s="4" t="s">
        <v>919</v>
      </c>
      <c r="E828" s="4" t="s">
        <v>1737</v>
      </c>
      <c r="F828" s="4">
        <v>2013</v>
      </c>
      <c r="G828" s="4" t="s">
        <v>901</v>
      </c>
      <c r="H828" s="6">
        <v>1</v>
      </c>
      <c r="I828" s="6" t="s">
        <v>97</v>
      </c>
    </row>
    <row r="829" spans="2:9" hidden="1" x14ac:dyDescent="0.25">
      <c r="B829" s="4"/>
      <c r="C829" s="4"/>
      <c r="D829" s="4"/>
      <c r="E829" s="4"/>
      <c r="F829" s="4"/>
      <c r="G829" s="4"/>
      <c r="H829" s="6"/>
      <c r="I829" s="6"/>
    </row>
    <row r="830" spans="2:9" hidden="1" x14ac:dyDescent="0.25">
      <c r="B830" s="4"/>
      <c r="C830" s="4"/>
      <c r="D830" s="4"/>
      <c r="E830" s="4"/>
      <c r="F830" s="4"/>
      <c r="G830" s="4"/>
      <c r="H830" s="6"/>
      <c r="I830" s="6"/>
    </row>
    <row r="831" spans="2:9" hidden="1" x14ac:dyDescent="0.25">
      <c r="B831" s="4"/>
      <c r="C831" s="4"/>
      <c r="D831" s="4"/>
      <c r="E831" s="4"/>
      <c r="F831" s="4"/>
      <c r="G831" s="4"/>
      <c r="H831" s="6"/>
      <c r="I831" s="6"/>
    </row>
    <row r="832" spans="2:9" hidden="1" x14ac:dyDescent="0.25">
      <c r="B832" s="4"/>
      <c r="C832" s="4"/>
      <c r="D832" s="4"/>
      <c r="E832" s="4"/>
      <c r="F832" s="4"/>
      <c r="G832" s="4"/>
      <c r="H832" s="6"/>
      <c r="I832" s="6"/>
    </row>
    <row r="833" spans="2:9" hidden="1" x14ac:dyDescent="0.25">
      <c r="B833" s="4"/>
      <c r="C833" s="4"/>
      <c r="D833" s="4"/>
      <c r="E833" s="4"/>
      <c r="F833" s="4"/>
      <c r="G833" s="4"/>
      <c r="H833" s="6"/>
      <c r="I833" s="6"/>
    </row>
    <row r="834" spans="2:9" hidden="1" x14ac:dyDescent="0.25">
      <c r="B834" s="4"/>
      <c r="C834" s="4"/>
      <c r="D834" s="4"/>
      <c r="E834" s="4"/>
      <c r="F834" s="4"/>
      <c r="G834" s="4"/>
      <c r="H834" s="6"/>
      <c r="I834" s="6"/>
    </row>
    <row r="835" spans="2:9" hidden="1" x14ac:dyDescent="0.25">
      <c r="B835" s="4"/>
      <c r="C835" s="4"/>
      <c r="D835" s="4"/>
      <c r="E835" s="4"/>
      <c r="F835" s="4"/>
      <c r="G835" s="4"/>
      <c r="H835" s="6"/>
      <c r="I835" s="6"/>
    </row>
    <row r="836" spans="2:9" hidden="1" x14ac:dyDescent="0.25">
      <c r="B836" s="4"/>
      <c r="C836" s="4"/>
      <c r="D836" s="4"/>
      <c r="E836" s="4"/>
      <c r="F836" s="4"/>
      <c r="G836" s="4"/>
      <c r="H836" s="6"/>
      <c r="I836" s="6"/>
    </row>
    <row r="837" spans="2:9" hidden="1" x14ac:dyDescent="0.25">
      <c r="B837" s="4"/>
      <c r="C837" s="4"/>
      <c r="D837" s="4"/>
      <c r="E837" s="4"/>
      <c r="F837" s="4"/>
      <c r="G837" s="4"/>
      <c r="H837" s="6"/>
      <c r="I837" s="6"/>
    </row>
    <row r="838" spans="2:9" hidden="1" x14ac:dyDescent="0.25">
      <c r="B838" s="4"/>
      <c r="C838" s="4"/>
      <c r="D838" s="4"/>
      <c r="E838" s="4"/>
      <c r="F838" s="4"/>
      <c r="G838" s="4"/>
      <c r="H838" s="6"/>
      <c r="I838" s="6"/>
    </row>
    <row r="839" spans="2:9" hidden="1" x14ac:dyDescent="0.25">
      <c r="B839" s="4"/>
      <c r="C839" s="4"/>
      <c r="D839" s="4"/>
      <c r="E839" s="4"/>
      <c r="F839" s="4"/>
      <c r="G839" s="4"/>
      <c r="H839" s="6"/>
      <c r="I839" s="6"/>
    </row>
    <row r="840" spans="2:9" hidden="1" x14ac:dyDescent="0.25">
      <c r="B840" s="4"/>
      <c r="C840" s="4"/>
      <c r="D840" s="4"/>
      <c r="E840" s="4"/>
      <c r="F840" s="4"/>
      <c r="G840" s="4"/>
      <c r="H840" s="6"/>
      <c r="I840" s="6"/>
    </row>
    <row r="841" spans="2:9" hidden="1" x14ac:dyDescent="0.25">
      <c r="B841" s="4"/>
      <c r="C841" s="4"/>
      <c r="D841" s="4"/>
      <c r="E841" s="4"/>
      <c r="F841" s="4"/>
      <c r="G841" s="4"/>
      <c r="H841" s="6"/>
      <c r="I841" s="6"/>
    </row>
    <row r="842" spans="2:9" hidden="1" x14ac:dyDescent="0.25">
      <c r="B842" s="4"/>
      <c r="C842" s="4"/>
      <c r="D842" s="4"/>
      <c r="E842" s="4"/>
      <c r="F842" s="4"/>
      <c r="G842" s="4"/>
      <c r="H842" s="6"/>
      <c r="I842" s="6"/>
    </row>
    <row r="843" spans="2:9" hidden="1" x14ac:dyDescent="0.25">
      <c r="B843" s="4"/>
      <c r="C843" s="4"/>
      <c r="D843" s="4"/>
      <c r="E843" s="4"/>
      <c r="F843" s="4"/>
      <c r="G843" s="4"/>
      <c r="H843" s="6"/>
      <c r="I843" s="6"/>
    </row>
    <row r="844" spans="2:9" hidden="1" x14ac:dyDescent="0.25">
      <c r="B844" s="4"/>
      <c r="C844" s="4"/>
      <c r="D844" s="4"/>
      <c r="E844" s="4"/>
      <c r="F844" s="4"/>
      <c r="G844" s="4"/>
      <c r="H844" s="6"/>
      <c r="I844" s="6"/>
    </row>
    <row r="845" spans="2:9" hidden="1" x14ac:dyDescent="0.25">
      <c r="B845" s="4"/>
      <c r="C845" s="4"/>
      <c r="D845" s="4"/>
      <c r="E845" s="4"/>
      <c r="F845" s="4"/>
      <c r="G845" s="4"/>
      <c r="H845" s="6"/>
      <c r="I845" s="6"/>
    </row>
    <row r="846" spans="2:9" hidden="1" x14ac:dyDescent="0.25">
      <c r="B846" s="4"/>
      <c r="C846" s="4"/>
      <c r="D846" s="4"/>
      <c r="E846" s="4"/>
      <c r="F846" s="4"/>
      <c r="G846" s="4"/>
      <c r="H846" s="6"/>
      <c r="I846" s="6"/>
    </row>
    <row r="847" spans="2:9" hidden="1" x14ac:dyDescent="0.25">
      <c r="B847" s="4"/>
      <c r="C847" s="4"/>
      <c r="D847" s="4"/>
      <c r="E847" s="4"/>
      <c r="F847" s="4"/>
      <c r="G847" s="4"/>
      <c r="H847" s="6"/>
      <c r="I847" s="6"/>
    </row>
    <row r="848" spans="2:9" hidden="1" x14ac:dyDescent="0.25">
      <c r="B848" s="4"/>
      <c r="C848" s="4"/>
      <c r="D848" s="4"/>
      <c r="E848" s="4"/>
      <c r="F848" s="4"/>
      <c r="G848" s="4"/>
      <c r="H848" s="6"/>
      <c r="I848" s="6"/>
    </row>
    <row r="849" spans="2:9" hidden="1" x14ac:dyDescent="0.25">
      <c r="B849" s="4"/>
      <c r="C849" s="4"/>
      <c r="D849" s="4"/>
      <c r="E849" s="4"/>
      <c r="F849" s="4"/>
      <c r="G849" s="4"/>
      <c r="H849" s="6"/>
      <c r="I849" s="6"/>
    </row>
    <row r="850" spans="2:9" hidden="1" x14ac:dyDescent="0.25">
      <c r="B850" s="4"/>
      <c r="C850" s="4"/>
      <c r="D850" s="4"/>
      <c r="E850" s="4"/>
      <c r="F850" s="4"/>
      <c r="G850" s="4"/>
      <c r="H850" s="6"/>
      <c r="I850" s="6"/>
    </row>
    <row r="851" spans="2:9" hidden="1" x14ac:dyDescent="0.25">
      <c r="B851" s="4"/>
      <c r="C851" s="4"/>
      <c r="D851" s="4"/>
      <c r="E851" s="4"/>
      <c r="F851" s="4"/>
      <c r="G851" s="4"/>
      <c r="H851" s="6"/>
      <c r="I851" s="6"/>
    </row>
    <row r="852" spans="2:9" hidden="1" x14ac:dyDescent="0.25">
      <c r="B852" s="4"/>
      <c r="C852" s="4"/>
      <c r="D852" s="4"/>
      <c r="E852" s="4"/>
      <c r="F852" s="4"/>
      <c r="G852" s="4"/>
      <c r="H852" s="6"/>
      <c r="I852" s="6"/>
    </row>
    <row r="853" spans="2:9" hidden="1" x14ac:dyDescent="0.25">
      <c r="B853" s="4"/>
      <c r="C853" s="4"/>
      <c r="D853" s="4"/>
      <c r="E853" s="4"/>
      <c r="F853" s="4"/>
      <c r="G853" s="4"/>
      <c r="H853" s="6"/>
      <c r="I853" s="6"/>
    </row>
    <row r="854" spans="2:9" hidden="1" x14ac:dyDescent="0.25">
      <c r="B854" s="4"/>
      <c r="C854" s="4"/>
      <c r="D854" s="4"/>
      <c r="E854" s="4"/>
      <c r="F854" s="4"/>
      <c r="G854" s="4"/>
      <c r="H854" s="6"/>
      <c r="I854" s="6"/>
    </row>
    <row r="855" spans="2:9" hidden="1" x14ac:dyDescent="0.25">
      <c r="B855" s="4"/>
      <c r="C855" s="4"/>
      <c r="D855" s="4"/>
      <c r="E855" s="4"/>
      <c r="F855" s="4"/>
      <c r="G855" s="4"/>
      <c r="H855" s="6"/>
      <c r="I855" s="6"/>
    </row>
    <row r="856" spans="2:9" hidden="1" x14ac:dyDescent="0.25">
      <c r="B856" s="4"/>
      <c r="C856" s="4"/>
      <c r="D856" s="4"/>
      <c r="E856" s="4"/>
      <c r="F856" s="4"/>
      <c r="G856" s="4"/>
      <c r="H856" s="6"/>
      <c r="I856" s="6"/>
    </row>
    <row r="857" spans="2:9" hidden="1" x14ac:dyDescent="0.25">
      <c r="B857" s="4"/>
      <c r="C857" s="4"/>
      <c r="D857" s="4"/>
      <c r="E857" s="4"/>
      <c r="F857" s="4"/>
      <c r="G857" s="4"/>
      <c r="H857" s="6"/>
      <c r="I857" s="6"/>
    </row>
    <row r="858" spans="2:9" hidden="1" x14ac:dyDescent="0.25">
      <c r="B858" s="4"/>
      <c r="C858" s="4"/>
      <c r="D858" s="4"/>
      <c r="E858" s="4"/>
      <c r="F858" s="4"/>
      <c r="G858" s="4"/>
      <c r="H858" s="6"/>
      <c r="I858" s="6"/>
    </row>
    <row r="859" spans="2:9" hidden="1" x14ac:dyDescent="0.25">
      <c r="B859" s="4"/>
      <c r="C859" s="4"/>
      <c r="D859" s="4"/>
      <c r="E859" s="4"/>
      <c r="F859" s="4"/>
      <c r="G859" s="4"/>
      <c r="H859" s="6"/>
      <c r="I859" s="6"/>
    </row>
    <row r="860" spans="2:9" hidden="1" x14ac:dyDescent="0.25">
      <c r="B860" s="4"/>
      <c r="C860" s="4"/>
      <c r="D860" s="4"/>
      <c r="E860" s="4"/>
      <c r="F860" s="4"/>
      <c r="G860" s="4"/>
      <c r="H860" s="6"/>
      <c r="I860" s="6"/>
    </row>
    <row r="861" spans="2:9" hidden="1" x14ac:dyDescent="0.25">
      <c r="B861" s="4"/>
      <c r="C861" s="4"/>
      <c r="D861" s="4"/>
      <c r="E861" s="4"/>
      <c r="F861" s="4"/>
      <c r="G861" s="4"/>
      <c r="H861" s="6"/>
      <c r="I861" s="6"/>
    </row>
    <row r="862" spans="2:9" hidden="1" x14ac:dyDescent="0.25">
      <c r="B862" s="4"/>
      <c r="C862" s="4"/>
      <c r="D862" s="4"/>
      <c r="E862" s="4"/>
      <c r="F862" s="4"/>
      <c r="G862" s="4"/>
      <c r="H862" s="6"/>
      <c r="I862" s="6"/>
    </row>
    <row r="863" spans="2:9" hidden="1" x14ac:dyDescent="0.25">
      <c r="B863" s="4"/>
      <c r="C863" s="4"/>
      <c r="D863" s="4"/>
      <c r="E863" s="4"/>
      <c r="F863" s="4"/>
      <c r="G863" s="4"/>
      <c r="H863" s="6"/>
      <c r="I863" s="6"/>
    </row>
    <row r="864" spans="2:9" hidden="1" x14ac:dyDescent="0.25">
      <c r="B864" s="4"/>
      <c r="C864" s="4"/>
      <c r="D864" s="4"/>
      <c r="E864" s="4"/>
      <c r="F864" s="4"/>
      <c r="G864" s="4"/>
      <c r="H864" s="6"/>
      <c r="I864" s="6"/>
    </row>
    <row r="865" spans="2:9" hidden="1" x14ac:dyDescent="0.25">
      <c r="B865" s="4"/>
      <c r="C865" s="4"/>
      <c r="D865" s="4"/>
      <c r="E865" s="4"/>
      <c r="F865" s="4"/>
      <c r="G865" s="4"/>
      <c r="H865" s="6"/>
      <c r="I865" s="6"/>
    </row>
    <row r="866" spans="2:9" hidden="1" x14ac:dyDescent="0.25">
      <c r="B866" s="4"/>
      <c r="C866" s="4"/>
      <c r="D866" s="4"/>
      <c r="E866" s="4"/>
      <c r="F866" s="4"/>
      <c r="G866" s="4"/>
      <c r="H866" s="6"/>
      <c r="I866" s="6"/>
    </row>
    <row r="867" spans="2:9" hidden="1" x14ac:dyDescent="0.25">
      <c r="B867" s="4"/>
      <c r="C867" s="4"/>
      <c r="D867" s="4"/>
      <c r="E867" s="4"/>
      <c r="F867" s="4"/>
      <c r="G867" s="4"/>
      <c r="H867" s="6"/>
      <c r="I867" s="6"/>
    </row>
    <row r="868" spans="2:9" hidden="1" x14ac:dyDescent="0.25">
      <c r="B868" s="4"/>
      <c r="C868" s="4"/>
      <c r="D868" s="4"/>
      <c r="E868" s="4"/>
      <c r="F868" s="4"/>
      <c r="G868" s="4"/>
      <c r="H868" s="6"/>
      <c r="I868" s="6"/>
    </row>
    <row r="869" spans="2:9" hidden="1" x14ac:dyDescent="0.25">
      <c r="B869" s="4"/>
      <c r="C869" s="4"/>
      <c r="D869" s="4"/>
      <c r="E869" s="4"/>
      <c r="F869" s="4"/>
      <c r="G869" s="4"/>
      <c r="H869" s="6"/>
      <c r="I869" s="6"/>
    </row>
    <row r="870" spans="2:9" hidden="1" x14ac:dyDescent="0.25">
      <c r="B870" s="4"/>
      <c r="C870" s="4"/>
      <c r="D870" s="4"/>
      <c r="E870" s="4"/>
      <c r="F870" s="4"/>
      <c r="G870" s="4"/>
      <c r="H870" s="6"/>
      <c r="I870" s="6"/>
    </row>
    <row r="871" spans="2:9" hidden="1" x14ac:dyDescent="0.25">
      <c r="B871" s="4"/>
      <c r="C871" s="4"/>
      <c r="D871" s="4"/>
      <c r="E871" s="4"/>
      <c r="F871" s="4"/>
      <c r="G871" s="4"/>
      <c r="H871" s="6"/>
      <c r="I871" s="6"/>
    </row>
    <row r="872" spans="2:9" hidden="1" x14ac:dyDescent="0.25">
      <c r="B872" s="4"/>
      <c r="C872" s="4"/>
      <c r="D872" s="4"/>
      <c r="E872" s="4"/>
      <c r="F872" s="4"/>
      <c r="G872" s="4"/>
      <c r="H872" s="6"/>
      <c r="I872" s="6"/>
    </row>
  </sheetData>
  <autoFilter ref="B2:H872">
    <filterColumn colId="6">
      <filters>
        <filter val="1"/>
      </filters>
    </filterColumn>
  </autoFilter>
  <conditionalFormatting sqref="D3:I12 D14:I1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">
    <cfRule type="cellIs" dxfId="13" priority="49" operator="equal">
      <formula>"Commune"</formula>
    </cfRule>
    <cfRule type="cellIs" dxfId="12" priority="50" operator="equal">
      <formula>"IRIS"</formula>
    </cfRule>
  </conditionalFormatting>
  <conditionalFormatting sqref="I16:I206 I208:I65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:H206 H208:H65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:H206 H208:H654">
    <cfRule type="cellIs" dxfId="11" priority="45" operator="equal">
      <formula>"Commune"</formula>
    </cfRule>
    <cfRule type="cellIs" dxfId="10" priority="46" operator="equal">
      <formula>"IRIS"</formula>
    </cfRule>
  </conditionalFormatting>
  <conditionalFormatting sqref="I1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ellIs" dxfId="9" priority="41" operator="equal">
      <formula>"Commune"</formula>
    </cfRule>
    <cfRule type="cellIs" dxfId="8" priority="42" operator="equal">
      <formula>"IRIS"</formula>
    </cfRule>
  </conditionalFormatting>
  <conditionalFormatting sqref="I655:I8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55:H8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55:H817">
    <cfRule type="cellIs" dxfId="7" priority="9" operator="equal">
      <formula>"Commune"</formula>
    </cfRule>
    <cfRule type="cellIs" dxfId="6" priority="10" operator="equal">
      <formula>"IRIS"</formula>
    </cfRule>
  </conditionalFormatting>
  <conditionalFormatting sqref="I818:I87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18:H87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18:H872">
    <cfRule type="cellIs" dxfId="5" priority="5" operator="equal">
      <formula>"Commune"</formula>
    </cfRule>
    <cfRule type="cellIs" dxfId="4" priority="6" operator="equal">
      <formula>"IRIS"</formula>
    </cfRule>
  </conditionalFormatting>
  <conditionalFormatting sqref="I2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7">
    <cfRule type="cellIs" dxfId="1" priority="1" operator="equal">
      <formula>"Commune"</formula>
    </cfRule>
    <cfRule type="cellIs" dxfId="0" priority="2" operator="equal">
      <formula>"IRIS"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joute_Carte">
                <anchor moveWithCells="1" sizeWithCells="1">
                  <from>
                    <xdr:col>2</xdr:col>
                    <xdr:colOff>0</xdr:colOff>
                    <xdr:row>0</xdr:row>
                    <xdr:rowOff>200025</xdr:rowOff>
                  </from>
                  <to>
                    <xdr:col>2</xdr:col>
                    <xdr:colOff>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istrement_CSV">
                <anchor moveWithCells="1" sizeWithCells="1">
                  <from>
                    <xdr:col>2</xdr:col>
                    <xdr:colOff>0</xdr:colOff>
                    <xdr:row>0</xdr:row>
                    <xdr:rowOff>561975</xdr:rowOff>
                  </from>
                  <to>
                    <xdr:col>2</xdr:col>
                    <xdr:colOff>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nregistrement_Excel">
                <anchor moveWithCells="1" sizeWithCells="1">
                  <from>
                    <xdr:col>2</xdr:col>
                    <xdr:colOff>3886200</xdr:colOff>
                    <xdr:row>0</xdr:row>
                    <xdr:rowOff>352425</xdr:rowOff>
                  </from>
                  <to>
                    <xdr:col>2</xdr:col>
                    <xdr:colOff>4191000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Ajoute_Carte">
                <anchor moveWithCells="1" sizeWithCells="1">
                  <from>
                    <xdr:col>5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joute_Carte">
                <anchor moveWithCells="1" sizeWithCells="1">
                  <from>
                    <xdr:col>1</xdr:col>
                    <xdr:colOff>2066925</xdr:colOff>
                    <xdr:row>0</xdr:row>
                    <xdr:rowOff>180975</xdr:rowOff>
                  </from>
                  <to>
                    <xdr:col>1</xdr:col>
                    <xdr:colOff>2381250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Engistrement_CSV">
                <anchor moveWithCells="1" sizeWithCells="1">
                  <from>
                    <xdr:col>1</xdr:col>
                    <xdr:colOff>2076450</xdr:colOff>
                    <xdr:row>0</xdr:row>
                    <xdr:rowOff>581025</xdr:rowOff>
                  </from>
                  <to>
                    <xdr:col>1</xdr:col>
                    <xdr:colOff>2381250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34"/>
  <sheetViews>
    <sheetView showGridLines="0" topLeftCell="A208" zoomScale="78" zoomScaleNormal="78" workbookViewId="0">
      <selection activeCell="H229" sqref="H229"/>
    </sheetView>
  </sheetViews>
  <sheetFormatPr defaultRowHeight="15" x14ac:dyDescent="0.25"/>
  <cols>
    <col min="1" max="1" width="23.42578125" customWidth="1"/>
    <col min="2" max="2" width="58.85546875" customWidth="1"/>
    <col min="3" max="4" width="27.140625" customWidth="1"/>
    <col min="5" max="5" width="9.42578125" customWidth="1"/>
    <col min="6" max="6" width="17.140625" customWidth="1"/>
  </cols>
  <sheetData>
    <row r="1" spans="1:10" x14ac:dyDescent="0.25">
      <c r="A1" s="9" t="s">
        <v>0</v>
      </c>
      <c r="B1" s="10" t="s">
        <v>906</v>
      </c>
      <c r="C1" s="10" t="s">
        <v>905</v>
      </c>
      <c r="D1" s="10" t="s">
        <v>911</v>
      </c>
      <c r="E1" s="10" t="s">
        <v>907</v>
      </c>
      <c r="F1" s="10" t="s">
        <v>900</v>
      </c>
      <c r="G1" s="11" t="s">
        <v>904</v>
      </c>
      <c r="H1" s="11" t="s">
        <v>1636</v>
      </c>
      <c r="I1" s="11" t="s">
        <v>1</v>
      </c>
      <c r="J1" s="11" t="s">
        <v>2</v>
      </c>
    </row>
    <row r="2" spans="1:10" x14ac:dyDescent="0.25">
      <c r="A2" t="s">
        <v>428</v>
      </c>
      <c r="B2" t="s">
        <v>1739</v>
      </c>
      <c r="C2" t="s">
        <v>918</v>
      </c>
      <c r="D2" t="s">
        <v>1738</v>
      </c>
      <c r="E2">
        <v>2013</v>
      </c>
      <c r="F2" t="s">
        <v>901</v>
      </c>
      <c r="G2">
        <v>1</v>
      </c>
      <c r="H2" t="s">
        <v>97</v>
      </c>
      <c r="I2" t="str">
        <f>VLOOKUP($A2,'Type et couleur'!$B:$D,2,0)</f>
        <v>Factor</v>
      </c>
      <c r="J2" t="str">
        <f>VLOOKUP($A2,'Type et couleur'!$B:$D,3,0)</f>
        <v>Factor</v>
      </c>
    </row>
    <row r="3" spans="1:10" x14ac:dyDescent="0.25">
      <c r="A3" t="s">
        <v>3</v>
      </c>
      <c r="B3" t="s">
        <v>908</v>
      </c>
      <c r="C3" t="s">
        <v>1402</v>
      </c>
      <c r="D3" t="s">
        <v>6</v>
      </c>
      <c r="E3">
        <v>2013</v>
      </c>
      <c r="F3" t="s">
        <v>901</v>
      </c>
      <c r="G3">
        <v>1</v>
      </c>
      <c r="H3" t="s">
        <v>97</v>
      </c>
      <c r="I3" t="str">
        <f>VLOOKUP($A3,'Type et couleur'!$B:$D,2,0)</f>
        <v>Abs</v>
      </c>
      <c r="J3" t="str">
        <f>VLOOKUP($A3,'Type et couleur'!$B:$D,3,0)</f>
        <v>Clair_Fonce</v>
      </c>
    </row>
    <row r="4" spans="1:10" x14ac:dyDescent="0.25">
      <c r="A4" t="s">
        <v>1050</v>
      </c>
      <c r="B4" t="s">
        <v>1295</v>
      </c>
      <c r="C4" t="s">
        <v>1402</v>
      </c>
      <c r="D4" t="s">
        <v>1317</v>
      </c>
      <c r="E4">
        <v>2013</v>
      </c>
      <c r="F4" t="s">
        <v>901</v>
      </c>
      <c r="G4">
        <v>1</v>
      </c>
      <c r="H4" t="s">
        <v>97</v>
      </c>
      <c r="I4" t="str">
        <f>VLOOKUP($A4,'Type et couleur'!$B:$D,2,0)</f>
        <v>Pct</v>
      </c>
      <c r="J4" t="str">
        <f>VLOOKUP($A4,'Type et couleur'!$B:$D,3,0)</f>
        <v>Clair_Fonce</v>
      </c>
    </row>
    <row r="5" spans="1:10" x14ac:dyDescent="0.25">
      <c r="A5" t="s">
        <v>1056</v>
      </c>
      <c r="B5" t="s">
        <v>1301</v>
      </c>
      <c r="C5" t="s">
        <v>1402</v>
      </c>
      <c r="D5" t="s">
        <v>1318</v>
      </c>
      <c r="E5">
        <v>2013</v>
      </c>
      <c r="F5" t="s">
        <v>901</v>
      </c>
      <c r="G5">
        <v>1</v>
      </c>
      <c r="H5" t="s">
        <v>97</v>
      </c>
      <c r="I5" t="str">
        <f>VLOOKUP($A5,'Type et couleur'!$B:$D,2,0)</f>
        <v>Pct</v>
      </c>
      <c r="J5" t="str">
        <f>VLOOKUP($A5,'Type et couleur'!$B:$D,3,0)</f>
        <v>Clair_Fonce</v>
      </c>
    </row>
    <row r="6" spans="1:10" x14ac:dyDescent="0.25">
      <c r="A6" t="s">
        <v>1061</v>
      </c>
      <c r="B6" t="s">
        <v>1306</v>
      </c>
      <c r="C6" t="s">
        <v>1402</v>
      </c>
      <c r="D6" t="s">
        <v>1318</v>
      </c>
      <c r="E6">
        <v>2013</v>
      </c>
      <c r="F6" t="s">
        <v>901</v>
      </c>
      <c r="G6">
        <v>1</v>
      </c>
      <c r="H6" t="s">
        <v>97</v>
      </c>
      <c r="I6" t="str">
        <f>VLOOKUP($A6,'Type et couleur'!$B:$D,2,0)</f>
        <v>Pct</v>
      </c>
      <c r="J6" t="str">
        <f>VLOOKUP($A6,'Type et couleur'!$B:$D,3,0)</f>
        <v>Clair_Fonce</v>
      </c>
    </row>
    <row r="7" spans="1:10" x14ac:dyDescent="0.25">
      <c r="A7" t="s">
        <v>1067</v>
      </c>
      <c r="B7" t="s">
        <v>1312</v>
      </c>
      <c r="C7" t="s">
        <v>1402</v>
      </c>
      <c r="D7" t="s">
        <v>1317</v>
      </c>
      <c r="E7">
        <v>2013</v>
      </c>
      <c r="F7" t="s">
        <v>901</v>
      </c>
      <c r="G7">
        <v>1</v>
      </c>
      <c r="H7" t="s">
        <v>97</v>
      </c>
      <c r="I7" t="str">
        <f>VLOOKUP($A7,'Type et couleur'!$B:$D,2,0)</f>
        <v>Pct</v>
      </c>
      <c r="J7" t="str">
        <f>VLOOKUP($A7,'Type et couleur'!$B:$D,3,0)</f>
        <v>Clair_Fonce</v>
      </c>
    </row>
    <row r="8" spans="1:10" x14ac:dyDescent="0.25">
      <c r="A8" t="s">
        <v>1073</v>
      </c>
      <c r="B8" t="s">
        <v>1322</v>
      </c>
      <c r="C8" t="s">
        <v>1402</v>
      </c>
      <c r="D8" t="s">
        <v>1317</v>
      </c>
      <c r="E8">
        <v>2013</v>
      </c>
      <c r="F8" t="s">
        <v>901</v>
      </c>
      <c r="G8">
        <v>1</v>
      </c>
      <c r="H8" t="s">
        <v>97</v>
      </c>
      <c r="I8" t="str">
        <f>VLOOKUP($A8,'Type et couleur'!$B:$D,2,0)</f>
        <v>Pct</v>
      </c>
      <c r="J8" t="str">
        <f>VLOOKUP($A8,'Type et couleur'!$B:$D,3,0)</f>
        <v>Clair_Fonce</v>
      </c>
    </row>
    <row r="9" spans="1:10" x14ac:dyDescent="0.25">
      <c r="A9" t="s">
        <v>1074</v>
      </c>
      <c r="B9" t="s">
        <v>1323</v>
      </c>
      <c r="C9" t="s">
        <v>1402</v>
      </c>
      <c r="D9" t="s">
        <v>1317</v>
      </c>
      <c r="E9">
        <v>2013</v>
      </c>
      <c r="F9" t="s">
        <v>901</v>
      </c>
      <c r="G9">
        <v>1</v>
      </c>
      <c r="H9" t="s">
        <v>97</v>
      </c>
      <c r="I9" t="str">
        <f>VLOOKUP($A9,'Type et couleur'!$B:$D,2,0)</f>
        <v>Pct</v>
      </c>
      <c r="J9" t="str">
        <f>VLOOKUP($A9,'Type et couleur'!$B:$D,3,0)</f>
        <v>Clair_Fonce</v>
      </c>
    </row>
    <row r="10" spans="1:10" x14ac:dyDescent="0.25">
      <c r="A10" t="s">
        <v>1075</v>
      </c>
      <c r="B10" t="s">
        <v>1324</v>
      </c>
      <c r="C10" t="s">
        <v>1402</v>
      </c>
      <c r="D10" t="s">
        <v>1317</v>
      </c>
      <c r="E10">
        <v>2013</v>
      </c>
      <c r="F10" t="s">
        <v>901</v>
      </c>
      <c r="G10">
        <v>1</v>
      </c>
      <c r="H10" t="s">
        <v>97</v>
      </c>
      <c r="I10" t="str">
        <f>VLOOKUP($A10,'Type et couleur'!$B:$D,2,0)</f>
        <v>Pct</v>
      </c>
      <c r="J10" t="str">
        <f>VLOOKUP($A10,'Type et couleur'!$B:$D,3,0)</f>
        <v>Clair_Fonce</v>
      </c>
    </row>
    <row r="11" spans="1:10" x14ac:dyDescent="0.25">
      <c r="A11" t="s">
        <v>1086</v>
      </c>
      <c r="B11" t="s">
        <v>1335</v>
      </c>
      <c r="C11" t="s">
        <v>1402</v>
      </c>
      <c r="D11" t="s">
        <v>1442</v>
      </c>
      <c r="E11">
        <v>2013</v>
      </c>
      <c r="F11" t="s">
        <v>901</v>
      </c>
      <c r="G11">
        <v>1</v>
      </c>
      <c r="H11" t="s">
        <v>97</v>
      </c>
      <c r="I11" t="str">
        <f>VLOOKUP($A11,'Type et couleur'!$B:$D,2,0)</f>
        <v>Pct</v>
      </c>
      <c r="J11" t="str">
        <f>VLOOKUP($A11,'Type et couleur'!$B:$D,3,0)</f>
        <v>Clair_Fonce</v>
      </c>
    </row>
    <row r="12" spans="1:10" x14ac:dyDescent="0.25">
      <c r="A12" t="s">
        <v>1087</v>
      </c>
      <c r="B12" t="s">
        <v>1336</v>
      </c>
      <c r="C12" t="s">
        <v>1402</v>
      </c>
      <c r="D12" t="s">
        <v>1441</v>
      </c>
      <c r="E12">
        <v>2013</v>
      </c>
      <c r="F12" t="s">
        <v>901</v>
      </c>
      <c r="G12">
        <v>1</v>
      </c>
      <c r="H12" t="s">
        <v>97</v>
      </c>
      <c r="I12" t="str">
        <f>VLOOKUP($A12,'Type et couleur'!$B:$D,2,0)</f>
        <v>Pct</v>
      </c>
      <c r="J12" t="str">
        <f>VLOOKUP($A12,'Type et couleur'!$B:$D,3,0)</f>
        <v>Clair_Fonce</v>
      </c>
    </row>
    <row r="13" spans="1:10" x14ac:dyDescent="0.25">
      <c r="A13" t="s">
        <v>1088</v>
      </c>
      <c r="B13" t="s">
        <v>1337</v>
      </c>
      <c r="C13" t="s">
        <v>1402</v>
      </c>
      <c r="D13" t="s">
        <v>1441</v>
      </c>
      <c r="E13">
        <v>2013</v>
      </c>
      <c r="F13" t="s">
        <v>901</v>
      </c>
      <c r="G13">
        <v>1</v>
      </c>
      <c r="H13" t="s">
        <v>97</v>
      </c>
      <c r="I13" t="str">
        <f>VLOOKUP($A13,'Type et couleur'!$B:$D,2,0)</f>
        <v>Pct</v>
      </c>
      <c r="J13" t="str">
        <f>VLOOKUP($A13,'Type et couleur'!$B:$D,3,0)</f>
        <v>Clair_Fonce</v>
      </c>
    </row>
    <row r="14" spans="1:10" x14ac:dyDescent="0.25">
      <c r="A14" t="s">
        <v>1089</v>
      </c>
      <c r="B14" t="s">
        <v>1338</v>
      </c>
      <c r="C14" t="s">
        <v>1402</v>
      </c>
      <c r="D14" t="s">
        <v>1441</v>
      </c>
      <c r="E14">
        <v>2013</v>
      </c>
      <c r="F14" t="s">
        <v>901</v>
      </c>
      <c r="G14">
        <v>1</v>
      </c>
      <c r="H14" t="s">
        <v>97</v>
      </c>
      <c r="I14" t="str">
        <f>VLOOKUP($A14,'Type et couleur'!$B:$D,2,0)</f>
        <v>Pct</v>
      </c>
      <c r="J14" t="str">
        <f>VLOOKUP($A14,'Type et couleur'!$B:$D,3,0)</f>
        <v>Clair_Fonce</v>
      </c>
    </row>
    <row r="15" spans="1:10" x14ac:dyDescent="0.25">
      <c r="A15" t="s">
        <v>1671</v>
      </c>
      <c r="B15" t="s">
        <v>17</v>
      </c>
      <c r="C15" t="s">
        <v>1402</v>
      </c>
      <c r="D15" t="s">
        <v>1317</v>
      </c>
      <c r="E15">
        <v>2013</v>
      </c>
      <c r="F15" t="s">
        <v>901</v>
      </c>
      <c r="G15">
        <v>1</v>
      </c>
      <c r="H15" t="s">
        <v>97</v>
      </c>
      <c r="I15" t="str">
        <f>VLOOKUP($A15,'Type et couleur'!$B:$D,2,0)</f>
        <v>Pct</v>
      </c>
      <c r="J15" t="str">
        <f>VLOOKUP($A15,'Type et couleur'!$B:$D,3,0)</f>
        <v>Clair_Fonce</v>
      </c>
    </row>
    <row r="16" spans="1:10" x14ac:dyDescent="0.25">
      <c r="A16" t="s">
        <v>19</v>
      </c>
      <c r="B16" t="s">
        <v>20</v>
      </c>
      <c r="C16" t="s">
        <v>1402</v>
      </c>
      <c r="D16" t="s">
        <v>6</v>
      </c>
      <c r="E16">
        <v>2013</v>
      </c>
      <c r="F16" t="s">
        <v>901</v>
      </c>
      <c r="G16">
        <v>1</v>
      </c>
      <c r="H16" t="s">
        <v>97</v>
      </c>
      <c r="I16" t="str">
        <f>VLOOKUP($A16,'Type et couleur'!$B:$D,2,0)</f>
        <v>Pct</v>
      </c>
      <c r="J16" t="str">
        <f>VLOOKUP($A16,'Type et couleur'!$B:$D,3,0)</f>
        <v>Rouge_Vert</v>
      </c>
    </row>
    <row r="17" spans="1:10" x14ac:dyDescent="0.25">
      <c r="A17" t="s">
        <v>22</v>
      </c>
      <c r="B17" t="s">
        <v>23</v>
      </c>
      <c r="C17" t="s">
        <v>1402</v>
      </c>
      <c r="D17" t="s">
        <v>6</v>
      </c>
      <c r="E17">
        <v>2013</v>
      </c>
      <c r="F17" t="s">
        <v>901</v>
      </c>
      <c r="G17">
        <v>1</v>
      </c>
      <c r="H17" t="s">
        <v>97</v>
      </c>
      <c r="I17" t="str">
        <f>VLOOKUP($A17,'Type et couleur'!$B:$D,2,0)</f>
        <v>Pct</v>
      </c>
      <c r="J17" t="str">
        <f>VLOOKUP($A17,'Type et couleur'!$B:$D,3,0)</f>
        <v>Rouge_Vert</v>
      </c>
    </row>
    <row r="18" spans="1:10" x14ac:dyDescent="0.25">
      <c r="A18" t="s">
        <v>1578</v>
      </c>
      <c r="B18" t="s">
        <v>1612</v>
      </c>
      <c r="C18" t="s">
        <v>1402</v>
      </c>
      <c r="D18" t="s">
        <v>1620</v>
      </c>
      <c r="E18">
        <v>2013</v>
      </c>
      <c r="F18" t="s">
        <v>901</v>
      </c>
      <c r="G18">
        <v>1</v>
      </c>
      <c r="H18" t="s">
        <v>97</v>
      </c>
      <c r="I18" t="str">
        <f>VLOOKUP($A18,'Type et couleur'!$B:$D,2,0)</f>
        <v>Pct</v>
      </c>
      <c r="J18" t="str">
        <f>VLOOKUP($A18,'Type et couleur'!$B:$D,3,0)</f>
        <v>Clair_Fonce</v>
      </c>
    </row>
    <row r="19" spans="1:10" x14ac:dyDescent="0.25">
      <c r="A19" t="s">
        <v>1579</v>
      </c>
      <c r="B19" t="s">
        <v>1613</v>
      </c>
      <c r="C19" t="s">
        <v>1402</v>
      </c>
      <c r="D19" t="s">
        <v>1620</v>
      </c>
      <c r="E19">
        <v>2013</v>
      </c>
      <c r="F19" t="s">
        <v>901</v>
      </c>
      <c r="G19">
        <v>1</v>
      </c>
      <c r="H19" t="s">
        <v>97</v>
      </c>
      <c r="I19" t="str">
        <f>VLOOKUP($A19,'Type et couleur'!$B:$D,2,0)</f>
        <v>Pct</v>
      </c>
      <c r="J19" t="str">
        <f>VLOOKUP($A19,'Type et couleur'!$B:$D,3,0)</f>
        <v>Clair_Fonce</v>
      </c>
    </row>
    <row r="20" spans="1:10" x14ac:dyDescent="0.25">
      <c r="A20" t="s">
        <v>1580</v>
      </c>
      <c r="B20" t="s">
        <v>1614</v>
      </c>
      <c r="C20" t="s">
        <v>1402</v>
      </c>
      <c r="D20" t="s">
        <v>1620</v>
      </c>
      <c r="E20">
        <v>2013</v>
      </c>
      <c r="F20" t="s">
        <v>901</v>
      </c>
      <c r="G20">
        <v>1</v>
      </c>
      <c r="H20" t="s">
        <v>97</v>
      </c>
      <c r="I20" t="str">
        <f>VLOOKUP($A20,'Type et couleur'!$B:$D,2,0)</f>
        <v>Pct</v>
      </c>
      <c r="J20" t="str">
        <f>VLOOKUP($A20,'Type et couleur'!$B:$D,3,0)</f>
        <v>Clair_Fonce</v>
      </c>
    </row>
    <row r="21" spans="1:10" x14ac:dyDescent="0.25">
      <c r="A21" t="s">
        <v>1581</v>
      </c>
      <c r="B21" t="s">
        <v>1615</v>
      </c>
      <c r="C21" t="s">
        <v>1402</v>
      </c>
      <c r="D21" t="s">
        <v>1620</v>
      </c>
      <c r="E21">
        <v>2013</v>
      </c>
      <c r="F21" t="s">
        <v>901</v>
      </c>
      <c r="G21">
        <v>1</v>
      </c>
      <c r="H21" t="s">
        <v>97</v>
      </c>
      <c r="I21" t="str">
        <f>VLOOKUP($A21,'Type et couleur'!$B:$D,2,0)</f>
        <v>Pct</v>
      </c>
      <c r="J21" t="str">
        <f>VLOOKUP($A21,'Type et couleur'!$B:$D,3,0)</f>
        <v>Clair_Fonce</v>
      </c>
    </row>
    <row r="22" spans="1:10" x14ac:dyDescent="0.25">
      <c r="A22" t="s">
        <v>1582</v>
      </c>
      <c r="B22" t="s">
        <v>1616</v>
      </c>
      <c r="C22" t="s">
        <v>1402</v>
      </c>
      <c r="D22" t="s">
        <v>1620</v>
      </c>
      <c r="E22">
        <v>2013</v>
      </c>
      <c r="F22" t="s">
        <v>901</v>
      </c>
      <c r="G22">
        <v>1</v>
      </c>
      <c r="H22" t="s">
        <v>97</v>
      </c>
      <c r="I22" t="str">
        <f>VLOOKUP($A22,'Type et couleur'!$B:$D,2,0)</f>
        <v>Pct</v>
      </c>
      <c r="J22" t="str">
        <f>VLOOKUP($A22,'Type et couleur'!$B:$D,3,0)</f>
        <v>Clair_Fonce</v>
      </c>
    </row>
    <row r="23" spans="1:10" x14ac:dyDescent="0.25">
      <c r="A23" t="s">
        <v>1583</v>
      </c>
      <c r="B23" t="s">
        <v>1617</v>
      </c>
      <c r="C23" t="s">
        <v>1402</v>
      </c>
      <c r="D23" t="s">
        <v>1620</v>
      </c>
      <c r="E23">
        <v>2013</v>
      </c>
      <c r="F23" t="s">
        <v>901</v>
      </c>
      <c r="G23">
        <v>1</v>
      </c>
      <c r="H23" t="s">
        <v>97</v>
      </c>
      <c r="I23" t="str">
        <f>VLOOKUP($A23,'Type et couleur'!$B:$D,2,0)</f>
        <v>Pct</v>
      </c>
      <c r="J23" t="str">
        <f>VLOOKUP($A23,'Type et couleur'!$B:$D,3,0)</f>
        <v>Clair_Fonce</v>
      </c>
    </row>
    <row r="24" spans="1:10" x14ac:dyDescent="0.25">
      <c r="A24" t="s">
        <v>1584</v>
      </c>
      <c r="B24" t="s">
        <v>1618</v>
      </c>
      <c r="C24" t="s">
        <v>1402</v>
      </c>
      <c r="D24" t="s">
        <v>1620</v>
      </c>
      <c r="E24">
        <v>2013</v>
      </c>
      <c r="F24" t="s">
        <v>901</v>
      </c>
      <c r="G24">
        <v>1</v>
      </c>
      <c r="H24" t="s">
        <v>97</v>
      </c>
      <c r="I24" t="str">
        <f>VLOOKUP($A24,'Type et couleur'!$B:$D,2,0)</f>
        <v>Pct</v>
      </c>
      <c r="J24" t="str">
        <f>VLOOKUP($A24,'Type et couleur'!$B:$D,3,0)</f>
        <v>Clair_Fonce</v>
      </c>
    </row>
    <row r="25" spans="1:10" x14ac:dyDescent="0.25">
      <c r="A25" t="s">
        <v>1585</v>
      </c>
      <c r="B25" t="s">
        <v>1619</v>
      </c>
      <c r="C25" t="s">
        <v>1402</v>
      </c>
      <c r="D25" t="s">
        <v>1620</v>
      </c>
      <c r="E25">
        <v>2013</v>
      </c>
      <c r="F25" t="s">
        <v>901</v>
      </c>
      <c r="G25">
        <v>1</v>
      </c>
      <c r="H25" t="s">
        <v>97</v>
      </c>
      <c r="I25" t="str">
        <f>VLOOKUP($A25,'Type et couleur'!$B:$D,2,0)</f>
        <v>Pct</v>
      </c>
      <c r="J25" t="str">
        <f>VLOOKUP($A25,'Type et couleur'!$B:$D,3,0)</f>
        <v>Clair_Fonce</v>
      </c>
    </row>
    <row r="26" spans="1:10" x14ac:dyDescent="0.25">
      <c r="A26" t="s">
        <v>30</v>
      </c>
      <c r="B26" t="s">
        <v>31</v>
      </c>
      <c r="C26" t="s">
        <v>1401</v>
      </c>
      <c r="D26" t="s">
        <v>1698</v>
      </c>
      <c r="E26">
        <v>2013</v>
      </c>
      <c r="F26" t="s">
        <v>901</v>
      </c>
      <c r="G26">
        <v>1</v>
      </c>
      <c r="H26" t="s">
        <v>97</v>
      </c>
      <c r="I26" t="str">
        <f>VLOOKUP($A26,'Type et couleur'!$B:$D,2,0)</f>
        <v>Pct</v>
      </c>
      <c r="J26" t="str">
        <f>VLOOKUP($A26,'Type et couleur'!$B:$D,3,0)</f>
        <v>Clair_Fonce</v>
      </c>
    </row>
    <row r="27" spans="1:10" x14ac:dyDescent="0.25">
      <c r="A27" t="s">
        <v>32</v>
      </c>
      <c r="B27" t="s">
        <v>1443</v>
      </c>
      <c r="C27" t="s">
        <v>1401</v>
      </c>
      <c r="D27" t="s">
        <v>1698</v>
      </c>
      <c r="E27">
        <v>2013</v>
      </c>
      <c r="F27" t="s">
        <v>901</v>
      </c>
      <c r="G27">
        <v>1</v>
      </c>
      <c r="H27" t="s">
        <v>97</v>
      </c>
      <c r="I27" t="str">
        <f>VLOOKUP($A27,'Type et couleur'!$B:$D,2,0)</f>
        <v>Pct</v>
      </c>
      <c r="J27" t="str">
        <f>VLOOKUP($A27,'Type et couleur'!$B:$D,3,0)</f>
        <v>Clair_Fonce</v>
      </c>
    </row>
    <row r="28" spans="1:10" x14ac:dyDescent="0.25">
      <c r="A28" t="s">
        <v>1092</v>
      </c>
      <c r="B28" t="s">
        <v>1341</v>
      </c>
      <c r="C28" t="s">
        <v>1401</v>
      </c>
      <c r="D28" t="s">
        <v>1698</v>
      </c>
      <c r="E28">
        <v>2013</v>
      </c>
      <c r="F28" t="s">
        <v>901</v>
      </c>
      <c r="G28">
        <v>1</v>
      </c>
      <c r="H28" t="s">
        <v>97</v>
      </c>
      <c r="I28" t="str">
        <f>VLOOKUP($A28,'Type et couleur'!$B:$D,2,0)</f>
        <v>Pct</v>
      </c>
      <c r="J28" t="str">
        <f>VLOOKUP($A28,'Type et couleur'!$B:$D,3,0)</f>
        <v>Clair_Fonce</v>
      </c>
    </row>
    <row r="29" spans="1:10" x14ac:dyDescent="0.25">
      <c r="A29" t="s">
        <v>1093</v>
      </c>
      <c r="B29" t="s">
        <v>1444</v>
      </c>
      <c r="C29" t="s">
        <v>1401</v>
      </c>
      <c r="D29" t="s">
        <v>1698</v>
      </c>
      <c r="E29">
        <v>2013</v>
      </c>
      <c r="F29" t="s">
        <v>901</v>
      </c>
      <c r="G29">
        <v>1</v>
      </c>
      <c r="H29" t="s">
        <v>97</v>
      </c>
      <c r="I29" t="str">
        <f>VLOOKUP($A29,'Type et couleur'!$B:$D,2,0)</f>
        <v>Pct</v>
      </c>
      <c r="J29" t="str">
        <f>VLOOKUP($A29,'Type et couleur'!$B:$D,3,0)</f>
        <v>Clair_Fonce</v>
      </c>
    </row>
    <row r="30" spans="1:10" x14ac:dyDescent="0.25">
      <c r="A30" t="s">
        <v>1094</v>
      </c>
      <c r="B30" t="s">
        <v>1342</v>
      </c>
      <c r="C30" t="s">
        <v>1401</v>
      </c>
      <c r="D30" t="s">
        <v>1698</v>
      </c>
      <c r="E30">
        <v>2013</v>
      </c>
      <c r="F30" t="s">
        <v>901</v>
      </c>
      <c r="G30">
        <v>1</v>
      </c>
      <c r="H30" t="s">
        <v>97</v>
      </c>
      <c r="I30" t="str">
        <f>VLOOKUP($A30,'Type et couleur'!$B:$D,2,0)</f>
        <v>Pct</v>
      </c>
      <c r="J30" t="str">
        <f>VLOOKUP($A30,'Type et couleur'!$B:$D,3,0)</f>
        <v>Clair_Fonce</v>
      </c>
    </row>
    <row r="31" spans="1:10" x14ac:dyDescent="0.25">
      <c r="A31" t="s">
        <v>1095</v>
      </c>
      <c r="B31" t="s">
        <v>1445</v>
      </c>
      <c r="C31" t="s">
        <v>1401</v>
      </c>
      <c r="D31" t="s">
        <v>1698</v>
      </c>
      <c r="E31">
        <v>2013</v>
      </c>
      <c r="F31" t="s">
        <v>901</v>
      </c>
      <c r="G31">
        <v>1</v>
      </c>
      <c r="H31" t="s">
        <v>97</v>
      </c>
      <c r="I31" t="str">
        <f>VLOOKUP($A31,'Type et couleur'!$B:$D,2,0)</f>
        <v>Pct</v>
      </c>
      <c r="J31" t="str">
        <f>VLOOKUP($A31,'Type et couleur'!$B:$D,3,0)</f>
        <v>Clair_Fonce</v>
      </c>
    </row>
    <row r="32" spans="1:10" x14ac:dyDescent="0.25">
      <c r="A32" t="s">
        <v>33</v>
      </c>
      <c r="B32" t="s">
        <v>34</v>
      </c>
      <c r="C32" t="s">
        <v>1401</v>
      </c>
      <c r="D32" t="s">
        <v>1698</v>
      </c>
      <c r="E32">
        <v>2013</v>
      </c>
      <c r="F32" t="s">
        <v>901</v>
      </c>
      <c r="G32">
        <v>1</v>
      </c>
      <c r="H32" t="s">
        <v>97</v>
      </c>
      <c r="I32" t="str">
        <f>VLOOKUP($A32,'Type et couleur'!$B:$D,2,0)</f>
        <v>Pct</v>
      </c>
      <c r="J32" t="str">
        <f>VLOOKUP($A32,'Type et couleur'!$B:$D,3,0)</f>
        <v>Vert_Rouge</v>
      </c>
    </row>
    <row r="33" spans="1:10" x14ac:dyDescent="0.25">
      <c r="A33" t="s">
        <v>36</v>
      </c>
      <c r="B33" t="s">
        <v>37</v>
      </c>
      <c r="C33" t="s">
        <v>1401</v>
      </c>
      <c r="D33" t="s">
        <v>1698</v>
      </c>
      <c r="E33">
        <v>2013</v>
      </c>
      <c r="F33" t="s">
        <v>901</v>
      </c>
      <c r="G33">
        <v>1</v>
      </c>
      <c r="H33" t="s">
        <v>97</v>
      </c>
      <c r="I33" t="str">
        <f>VLOOKUP($A33,'Type et couleur'!$B:$D,2,0)</f>
        <v>Pct</v>
      </c>
      <c r="J33" t="str">
        <f>VLOOKUP($A33,'Type et couleur'!$B:$D,3,0)</f>
        <v>Vert_Rouge</v>
      </c>
    </row>
    <row r="34" spans="1:10" x14ac:dyDescent="0.25">
      <c r="A34" t="s">
        <v>38</v>
      </c>
      <c r="B34" t="s">
        <v>39</v>
      </c>
      <c r="C34" t="s">
        <v>1401</v>
      </c>
      <c r="D34" t="s">
        <v>1698</v>
      </c>
      <c r="E34">
        <v>2013</v>
      </c>
      <c r="F34" t="s">
        <v>901</v>
      </c>
      <c r="G34">
        <v>1</v>
      </c>
      <c r="H34" t="s">
        <v>97</v>
      </c>
      <c r="I34" t="str">
        <f>VLOOKUP($A34,'Type et couleur'!$B:$D,2,0)</f>
        <v>Pct</v>
      </c>
      <c r="J34" t="str">
        <f>VLOOKUP($A34,'Type et couleur'!$B:$D,3,0)</f>
        <v>Vert_Rouge</v>
      </c>
    </row>
    <row r="35" spans="1:10" x14ac:dyDescent="0.25">
      <c r="A35" t="s">
        <v>40</v>
      </c>
      <c r="B35" t="s">
        <v>41</v>
      </c>
      <c r="C35" t="s">
        <v>1401</v>
      </c>
      <c r="D35" t="s">
        <v>1698</v>
      </c>
      <c r="E35">
        <v>2013</v>
      </c>
      <c r="F35" t="s">
        <v>901</v>
      </c>
      <c r="G35">
        <v>1</v>
      </c>
      <c r="H35" t="s">
        <v>97</v>
      </c>
      <c r="I35" t="str">
        <f>VLOOKUP($A35,'Type et couleur'!$B:$D,2,0)</f>
        <v>Pct</v>
      </c>
      <c r="J35" t="str">
        <f>VLOOKUP($A35,'Type et couleur'!$B:$D,3,0)</f>
        <v>Vert_Rouge</v>
      </c>
    </row>
    <row r="36" spans="1:10" x14ac:dyDescent="0.25">
      <c r="A36" t="s">
        <v>80</v>
      </c>
      <c r="B36" t="s">
        <v>86</v>
      </c>
      <c r="C36" t="s">
        <v>1401</v>
      </c>
      <c r="D36" t="s">
        <v>916</v>
      </c>
      <c r="E36">
        <v>2013</v>
      </c>
      <c r="F36" t="s">
        <v>901</v>
      </c>
      <c r="G36">
        <v>1</v>
      </c>
      <c r="H36" t="s">
        <v>97</v>
      </c>
      <c r="I36" t="str">
        <f>VLOOKUP($A36,'Type et couleur'!$B:$D,2,0)</f>
        <v>Pct</v>
      </c>
      <c r="J36" t="str">
        <f>VLOOKUP($A36,'Type et couleur'!$B:$D,3,0)</f>
        <v>Clair_Fonce</v>
      </c>
    </row>
    <row r="37" spans="1:10" x14ac:dyDescent="0.25">
      <c r="A37" t="s">
        <v>81</v>
      </c>
      <c r="B37" t="s">
        <v>1395</v>
      </c>
      <c r="C37" t="s">
        <v>1401</v>
      </c>
      <c r="D37" t="s">
        <v>916</v>
      </c>
      <c r="E37">
        <v>2013</v>
      </c>
      <c r="F37" t="s">
        <v>901</v>
      </c>
      <c r="G37">
        <v>1</v>
      </c>
      <c r="H37" t="s">
        <v>97</v>
      </c>
      <c r="I37" t="str">
        <f>VLOOKUP($A37,'Type et couleur'!$B:$D,2,0)</f>
        <v>Pct</v>
      </c>
      <c r="J37" t="str">
        <f>VLOOKUP($A37,'Type et couleur'!$B:$D,3,0)</f>
        <v>Clair_Fonce</v>
      </c>
    </row>
    <row r="38" spans="1:10" x14ac:dyDescent="0.25">
      <c r="A38" t="s">
        <v>82</v>
      </c>
      <c r="B38" t="s">
        <v>87</v>
      </c>
      <c r="C38" t="s">
        <v>1401</v>
      </c>
      <c r="D38" t="s">
        <v>916</v>
      </c>
      <c r="E38">
        <v>2013</v>
      </c>
      <c r="F38" t="s">
        <v>901</v>
      </c>
      <c r="G38">
        <v>1</v>
      </c>
      <c r="H38" t="s">
        <v>97</v>
      </c>
      <c r="I38" t="str">
        <f>VLOOKUP($A38,'Type et couleur'!$B:$D,2,0)</f>
        <v>Pct</v>
      </c>
      <c r="J38" t="str">
        <f>VLOOKUP($A38,'Type et couleur'!$B:$D,3,0)</f>
        <v>Clair_Fonce</v>
      </c>
    </row>
    <row r="39" spans="1:10" x14ac:dyDescent="0.25">
      <c r="A39" t="s">
        <v>83</v>
      </c>
      <c r="B39" t="s">
        <v>88</v>
      </c>
      <c r="C39" t="s">
        <v>1401</v>
      </c>
      <c r="D39" t="s">
        <v>916</v>
      </c>
      <c r="E39">
        <v>2013</v>
      </c>
      <c r="F39" t="s">
        <v>901</v>
      </c>
      <c r="G39">
        <v>1</v>
      </c>
      <c r="H39" t="s">
        <v>97</v>
      </c>
      <c r="I39" t="str">
        <f>VLOOKUP($A39,'Type et couleur'!$B:$D,2,0)</f>
        <v>Pct</v>
      </c>
      <c r="J39" t="str">
        <f>VLOOKUP($A39,'Type et couleur'!$B:$D,3,0)</f>
        <v>Clair_Fonce</v>
      </c>
    </row>
    <row r="40" spans="1:10" x14ac:dyDescent="0.25">
      <c r="A40" t="s">
        <v>84</v>
      </c>
      <c r="B40" t="s">
        <v>89</v>
      </c>
      <c r="C40" t="s">
        <v>1401</v>
      </c>
      <c r="D40" t="s">
        <v>916</v>
      </c>
      <c r="E40">
        <v>2013</v>
      </c>
      <c r="F40" t="s">
        <v>901</v>
      </c>
      <c r="G40">
        <v>1</v>
      </c>
      <c r="H40" t="s">
        <v>97</v>
      </c>
      <c r="I40" t="str">
        <f>VLOOKUP($A40,'Type et couleur'!$B:$D,2,0)</f>
        <v>Pct</v>
      </c>
      <c r="J40" t="str">
        <f>VLOOKUP($A40,'Type et couleur'!$B:$D,3,0)</f>
        <v>Clair_Fonce</v>
      </c>
    </row>
    <row r="41" spans="1:10" x14ac:dyDescent="0.25">
      <c r="A41" t="s">
        <v>85</v>
      </c>
      <c r="B41" t="s">
        <v>90</v>
      </c>
      <c r="C41" t="s">
        <v>1401</v>
      </c>
      <c r="D41" t="s">
        <v>916</v>
      </c>
      <c r="E41">
        <v>2013</v>
      </c>
      <c r="F41" t="s">
        <v>901</v>
      </c>
      <c r="G41">
        <v>1</v>
      </c>
      <c r="H41" t="s">
        <v>97</v>
      </c>
      <c r="I41" t="str">
        <f>VLOOKUP($A41,'Type et couleur'!$B:$D,2,0)</f>
        <v>Pct</v>
      </c>
      <c r="J41" t="str">
        <f>VLOOKUP($A41,'Type et couleur'!$B:$D,3,0)</f>
        <v>Clair_Fonce</v>
      </c>
    </row>
    <row r="42" spans="1:10" x14ac:dyDescent="0.25">
      <c r="A42" t="s">
        <v>1096</v>
      </c>
      <c r="B42" t="s">
        <v>1404</v>
      </c>
      <c r="C42" t="s">
        <v>1401</v>
      </c>
      <c r="D42" t="s">
        <v>1403</v>
      </c>
      <c r="E42">
        <v>2013</v>
      </c>
      <c r="F42" t="s">
        <v>901</v>
      </c>
      <c r="G42">
        <v>1</v>
      </c>
      <c r="H42" t="s">
        <v>97</v>
      </c>
      <c r="I42" t="str">
        <f>VLOOKUP($A42,'Type et couleur'!$B:$D,2,0)</f>
        <v>Pct</v>
      </c>
      <c r="J42" t="str">
        <f>VLOOKUP($A42,'Type et couleur'!$B:$D,3,0)</f>
        <v>Clair_Fonce</v>
      </c>
    </row>
    <row r="43" spans="1:10" x14ac:dyDescent="0.25">
      <c r="A43" t="s">
        <v>1097</v>
      </c>
      <c r="B43" t="s">
        <v>1407</v>
      </c>
      <c r="C43" t="s">
        <v>1401</v>
      </c>
      <c r="D43" t="s">
        <v>1403</v>
      </c>
      <c r="E43">
        <v>2013</v>
      </c>
      <c r="F43" t="s">
        <v>901</v>
      </c>
      <c r="G43">
        <v>1</v>
      </c>
      <c r="H43" t="s">
        <v>97</v>
      </c>
      <c r="I43" t="str">
        <f>VLOOKUP($A43,'Type et couleur'!$B:$D,2,0)</f>
        <v>Pct</v>
      </c>
      <c r="J43" t="str">
        <f>VLOOKUP($A43,'Type et couleur'!$B:$D,3,0)</f>
        <v>Clair_Fonce</v>
      </c>
    </row>
    <row r="44" spans="1:10" x14ac:dyDescent="0.25">
      <c r="A44" t="s">
        <v>1098</v>
      </c>
      <c r="B44" t="s">
        <v>1406</v>
      </c>
      <c r="C44" t="s">
        <v>1401</v>
      </c>
      <c r="D44" t="s">
        <v>1403</v>
      </c>
      <c r="E44">
        <v>2013</v>
      </c>
      <c r="F44" t="s">
        <v>901</v>
      </c>
      <c r="G44">
        <v>1</v>
      </c>
      <c r="H44" t="s">
        <v>97</v>
      </c>
      <c r="I44" t="str">
        <f>VLOOKUP($A44,'Type et couleur'!$B:$D,2,0)</f>
        <v>Pct</v>
      </c>
      <c r="J44" t="str">
        <f>VLOOKUP($A44,'Type et couleur'!$B:$D,3,0)</f>
        <v>Clair_Fonce</v>
      </c>
    </row>
    <row r="45" spans="1:10" x14ac:dyDescent="0.25">
      <c r="A45" t="s">
        <v>1099</v>
      </c>
      <c r="B45" t="s">
        <v>1405</v>
      </c>
      <c r="C45" t="s">
        <v>1401</v>
      </c>
      <c r="D45" t="s">
        <v>1403</v>
      </c>
      <c r="E45">
        <v>2013</v>
      </c>
      <c r="F45" t="s">
        <v>901</v>
      </c>
      <c r="G45">
        <v>1</v>
      </c>
      <c r="H45" t="s">
        <v>97</v>
      </c>
      <c r="I45" t="str">
        <f>VLOOKUP($A45,'Type et couleur'!$B:$D,2,0)</f>
        <v>Pct</v>
      </c>
      <c r="J45" t="str">
        <f>VLOOKUP($A45,'Type et couleur'!$B:$D,3,0)</f>
        <v>Clair_Fonce</v>
      </c>
    </row>
    <row r="46" spans="1:10" x14ac:dyDescent="0.25">
      <c r="A46" t="s">
        <v>1100</v>
      </c>
      <c r="B46" t="s">
        <v>1733</v>
      </c>
      <c r="C46" t="s">
        <v>1401</v>
      </c>
      <c r="D46" t="s">
        <v>1547</v>
      </c>
      <c r="E46">
        <v>2013</v>
      </c>
      <c r="F46" t="s">
        <v>901</v>
      </c>
      <c r="G46">
        <v>1</v>
      </c>
      <c r="H46" t="s">
        <v>97</v>
      </c>
      <c r="I46" t="str">
        <f>VLOOKUP($A46,'Type et couleur'!$B:$D,2,0)</f>
        <v>Abs</v>
      </c>
      <c r="J46" t="str">
        <f>VLOOKUP($A46,'Type et couleur'!$B:$D,3,0)</f>
        <v>Clair_Fonce</v>
      </c>
    </row>
    <row r="47" spans="1:10" x14ac:dyDescent="0.25">
      <c r="A47" t="s">
        <v>1458</v>
      </c>
      <c r="B47" t="s">
        <v>1472</v>
      </c>
      <c r="C47" t="s">
        <v>1401</v>
      </c>
      <c r="D47" t="s">
        <v>1473</v>
      </c>
      <c r="E47">
        <v>2013</v>
      </c>
      <c r="F47" t="s">
        <v>901</v>
      </c>
      <c r="G47">
        <v>1</v>
      </c>
      <c r="H47" t="s">
        <v>1515</v>
      </c>
      <c r="I47" t="str">
        <f>VLOOKUP($A47,'Type et couleur'!$B:$D,2,0)</f>
        <v>Abs</v>
      </c>
      <c r="J47" t="str">
        <f>VLOOKUP($A47,'Type et couleur'!$B:$D,3,0)</f>
        <v>Clair_Fonce</v>
      </c>
    </row>
    <row r="48" spans="1:10" x14ac:dyDescent="0.25">
      <c r="A48" t="s">
        <v>1459</v>
      </c>
      <c r="B48" t="s">
        <v>1476</v>
      </c>
      <c r="C48" t="s">
        <v>1401</v>
      </c>
      <c r="D48" t="s">
        <v>1473</v>
      </c>
      <c r="E48">
        <v>2013</v>
      </c>
      <c r="F48" t="s">
        <v>901</v>
      </c>
      <c r="G48">
        <v>1</v>
      </c>
      <c r="H48" t="s">
        <v>1515</v>
      </c>
      <c r="I48" t="str">
        <f>VLOOKUP($A48,'Type et couleur'!$B:$D,2,0)</f>
        <v>Abs</v>
      </c>
      <c r="J48" t="str">
        <f>VLOOKUP($A48,'Type et couleur'!$B:$D,3,0)</f>
        <v>Clair_Fonce</v>
      </c>
    </row>
    <row r="49" spans="1:10" x14ac:dyDescent="0.25">
      <c r="A49" t="s">
        <v>1460</v>
      </c>
      <c r="B49" t="s">
        <v>1477</v>
      </c>
      <c r="C49" t="s">
        <v>1401</v>
      </c>
      <c r="D49" t="s">
        <v>1473</v>
      </c>
      <c r="E49">
        <v>2013</v>
      </c>
      <c r="F49" t="s">
        <v>901</v>
      </c>
      <c r="G49">
        <v>1</v>
      </c>
      <c r="H49" t="s">
        <v>1515</v>
      </c>
      <c r="I49" t="str">
        <f>VLOOKUP($A49,'Type et couleur'!$B:$D,2,0)</f>
        <v>Abs</v>
      </c>
      <c r="J49" t="str">
        <f>VLOOKUP($A49,'Type et couleur'!$B:$D,3,0)</f>
        <v>Clair_Fonce</v>
      </c>
    </row>
    <row r="50" spans="1:10" x14ac:dyDescent="0.25">
      <c r="A50" t="s">
        <v>1461</v>
      </c>
      <c r="B50" t="s">
        <v>1478</v>
      </c>
      <c r="C50" t="s">
        <v>1401</v>
      </c>
      <c r="D50" t="s">
        <v>1473</v>
      </c>
      <c r="E50">
        <v>2013</v>
      </c>
      <c r="F50" t="s">
        <v>901</v>
      </c>
      <c r="G50">
        <v>1</v>
      </c>
      <c r="H50" t="s">
        <v>1515</v>
      </c>
      <c r="I50" t="str">
        <f>VLOOKUP($A50,'Type et couleur'!$B:$D,2,0)</f>
        <v>Abs</v>
      </c>
      <c r="J50" t="str">
        <f>VLOOKUP($A50,'Type et couleur'!$B:$D,3,0)</f>
        <v>Clair_Fonce</v>
      </c>
    </row>
    <row r="51" spans="1:10" x14ac:dyDescent="0.25">
      <c r="A51" t="s">
        <v>1462</v>
      </c>
      <c r="B51" t="s">
        <v>1479</v>
      </c>
      <c r="C51" t="s">
        <v>1401</v>
      </c>
      <c r="D51" t="s">
        <v>1473</v>
      </c>
      <c r="E51">
        <v>2013</v>
      </c>
      <c r="F51" t="s">
        <v>901</v>
      </c>
      <c r="G51">
        <v>1</v>
      </c>
      <c r="H51" t="s">
        <v>1515</v>
      </c>
      <c r="I51" t="str">
        <f>VLOOKUP($A51,'Type et couleur'!$B:$D,2,0)</f>
        <v>Abs</v>
      </c>
      <c r="J51" t="str">
        <f>VLOOKUP($A51,'Type et couleur'!$B:$D,3,0)</f>
        <v>Clair_Fonce</v>
      </c>
    </row>
    <row r="52" spans="1:10" x14ac:dyDescent="0.25">
      <c r="A52" t="s">
        <v>1463</v>
      </c>
      <c r="B52" t="s">
        <v>1480</v>
      </c>
      <c r="C52" t="s">
        <v>1401</v>
      </c>
      <c r="D52" t="s">
        <v>1473</v>
      </c>
      <c r="E52">
        <v>2013</v>
      </c>
      <c r="F52" t="s">
        <v>901</v>
      </c>
      <c r="G52">
        <v>1</v>
      </c>
      <c r="H52" t="s">
        <v>1515</v>
      </c>
      <c r="I52" t="str">
        <f>VLOOKUP($A52,'Type et couleur'!$B:$D,2,0)</f>
        <v>Abs</v>
      </c>
      <c r="J52" t="str">
        <f>VLOOKUP($A52,'Type et couleur'!$B:$D,3,0)</f>
        <v>Clair_Fonce</v>
      </c>
    </row>
    <row r="53" spans="1:10" x14ac:dyDescent="0.25">
      <c r="A53" t="s">
        <v>1464</v>
      </c>
      <c r="B53" t="s">
        <v>1483</v>
      </c>
      <c r="C53" t="s">
        <v>1401</v>
      </c>
      <c r="D53" t="s">
        <v>1536</v>
      </c>
      <c r="E53">
        <v>2013</v>
      </c>
      <c r="F53" t="s">
        <v>901</v>
      </c>
      <c r="G53">
        <v>1</v>
      </c>
      <c r="H53" t="s">
        <v>1515</v>
      </c>
      <c r="I53" t="str">
        <f>VLOOKUP($A53,'Type et couleur'!$B:$D,2,0)</f>
        <v>Abs</v>
      </c>
      <c r="J53" t="str">
        <f>VLOOKUP($A53,'Type et couleur'!$B:$D,3,0)</f>
        <v>Clair_Fonce</v>
      </c>
    </row>
    <row r="54" spans="1:10" x14ac:dyDescent="0.25">
      <c r="A54" t="s">
        <v>1465</v>
      </c>
      <c r="B54" t="s">
        <v>1746</v>
      </c>
      <c r="C54" t="s">
        <v>1401</v>
      </c>
      <c r="D54" t="s">
        <v>1536</v>
      </c>
      <c r="E54">
        <v>2013</v>
      </c>
      <c r="F54" t="s">
        <v>901</v>
      </c>
      <c r="G54">
        <v>1</v>
      </c>
      <c r="H54" t="s">
        <v>1515</v>
      </c>
      <c r="I54" t="str">
        <f>VLOOKUP($A54,'Type et couleur'!$B:$D,2,0)</f>
        <v>Abs</v>
      </c>
      <c r="J54" t="str">
        <f>VLOOKUP($A54,'Type et couleur'!$B:$D,3,0)</f>
        <v>Clair_Fonce</v>
      </c>
    </row>
    <row r="55" spans="1:10" x14ac:dyDescent="0.25">
      <c r="A55" t="s">
        <v>1466</v>
      </c>
      <c r="B55" t="s">
        <v>1747</v>
      </c>
      <c r="C55" t="s">
        <v>1401</v>
      </c>
      <c r="D55" t="s">
        <v>1536</v>
      </c>
      <c r="E55">
        <v>2013</v>
      </c>
      <c r="F55" t="s">
        <v>901</v>
      </c>
      <c r="G55">
        <v>1</v>
      </c>
      <c r="H55" t="s">
        <v>1515</v>
      </c>
      <c r="I55" t="str">
        <f>VLOOKUP($A55,'Type et couleur'!$B:$D,2,0)</f>
        <v>Abs</v>
      </c>
      <c r="J55" t="str">
        <f>VLOOKUP($A55,'Type et couleur'!$B:$D,3,0)</f>
        <v>Clair_Fonce</v>
      </c>
    </row>
    <row r="56" spans="1:10" x14ac:dyDescent="0.25">
      <c r="A56" t="s">
        <v>1467</v>
      </c>
      <c r="B56" t="s">
        <v>1748</v>
      </c>
      <c r="C56" t="s">
        <v>1401</v>
      </c>
      <c r="D56" t="s">
        <v>1536</v>
      </c>
      <c r="E56">
        <v>2013</v>
      </c>
      <c r="F56" t="s">
        <v>901</v>
      </c>
      <c r="G56">
        <v>1</v>
      </c>
      <c r="H56" t="s">
        <v>1515</v>
      </c>
      <c r="I56" t="str">
        <f>VLOOKUP($A56,'Type et couleur'!$B:$D,2,0)</f>
        <v>Abs</v>
      </c>
      <c r="J56" t="str">
        <f>VLOOKUP($A56,'Type et couleur'!$B:$D,3,0)</f>
        <v>Clair_Fonce</v>
      </c>
    </row>
    <row r="57" spans="1:10" x14ac:dyDescent="0.25">
      <c r="A57" t="s">
        <v>1468</v>
      </c>
      <c r="B57" t="s">
        <v>1749</v>
      </c>
      <c r="C57" t="s">
        <v>1401</v>
      </c>
      <c r="D57" t="s">
        <v>1536</v>
      </c>
      <c r="E57">
        <v>2013</v>
      </c>
      <c r="F57" t="s">
        <v>901</v>
      </c>
      <c r="G57">
        <v>1</v>
      </c>
      <c r="H57" t="s">
        <v>1515</v>
      </c>
      <c r="I57" t="str">
        <f>VLOOKUP($A57,'Type et couleur'!$B:$D,2,0)</f>
        <v>Abs</v>
      </c>
      <c r="J57" t="str">
        <f>VLOOKUP($A57,'Type et couleur'!$B:$D,3,0)</f>
        <v>Clair_Fonce</v>
      </c>
    </row>
    <row r="58" spans="1:10" x14ac:dyDescent="0.25">
      <c r="A58" t="s">
        <v>1469</v>
      </c>
      <c r="B58" t="s">
        <v>1717</v>
      </c>
      <c r="C58" t="s">
        <v>1401</v>
      </c>
      <c r="D58" t="s">
        <v>1536</v>
      </c>
      <c r="E58" s="14">
        <v>2013</v>
      </c>
      <c r="F58" t="s">
        <v>901</v>
      </c>
      <c r="G58">
        <v>1</v>
      </c>
      <c r="H58" t="s">
        <v>1515</v>
      </c>
      <c r="I58" t="str">
        <f>VLOOKUP($A58,'Type et couleur'!$B:$D,2,0)</f>
        <v>Abs</v>
      </c>
      <c r="J58" t="str">
        <f>VLOOKUP($A58,'Type et couleur'!$B:$D,3,0)</f>
        <v>Clair_Fonce</v>
      </c>
    </row>
    <row r="59" spans="1:10" x14ac:dyDescent="0.25">
      <c r="A59" t="s">
        <v>1456</v>
      </c>
      <c r="B59" t="s">
        <v>1481</v>
      </c>
      <c r="C59" t="s">
        <v>1401</v>
      </c>
      <c r="D59" t="s">
        <v>916</v>
      </c>
      <c r="E59">
        <v>2013</v>
      </c>
      <c r="F59" t="s">
        <v>901</v>
      </c>
      <c r="G59">
        <v>1</v>
      </c>
      <c r="H59" t="s">
        <v>97</v>
      </c>
      <c r="I59" t="str">
        <f>VLOOKUP($A59,'Type et couleur'!$B:$D,2,0)</f>
        <v>Pct</v>
      </c>
      <c r="J59" t="str">
        <f>VLOOKUP($A59,'Type et couleur'!$B:$D,3,0)</f>
        <v>Clair_Fonce</v>
      </c>
    </row>
    <row r="60" spans="1:10" x14ac:dyDescent="0.25">
      <c r="A60" t="s">
        <v>1457</v>
      </c>
      <c r="B60" t="s">
        <v>1482</v>
      </c>
      <c r="C60" t="s">
        <v>1401</v>
      </c>
      <c r="D60" t="s">
        <v>916</v>
      </c>
      <c r="E60">
        <v>2013</v>
      </c>
      <c r="F60" t="s">
        <v>901</v>
      </c>
      <c r="G60">
        <v>1</v>
      </c>
      <c r="H60" t="s">
        <v>97</v>
      </c>
      <c r="I60" t="str">
        <f>VLOOKUP($A60,'Type et couleur'!$B:$D,2,0)</f>
        <v>Pct</v>
      </c>
      <c r="J60" t="str">
        <f>VLOOKUP($A60,'Type et couleur'!$B:$D,3,0)</f>
        <v>Clair_Fonce</v>
      </c>
    </row>
    <row r="61" spans="1:10" x14ac:dyDescent="0.25">
      <c r="A61" t="s">
        <v>1498</v>
      </c>
      <c r="B61" t="s">
        <v>1519</v>
      </c>
      <c r="C61" t="s">
        <v>1401</v>
      </c>
      <c r="D61" t="s">
        <v>1528</v>
      </c>
      <c r="E61">
        <v>2013</v>
      </c>
      <c r="F61" t="s">
        <v>901</v>
      </c>
      <c r="G61">
        <v>1</v>
      </c>
      <c r="H61" t="s">
        <v>97</v>
      </c>
      <c r="I61" t="str">
        <f>VLOOKUP($A61,'Type et couleur'!$B:$D,2,0)</f>
        <v>Pct</v>
      </c>
      <c r="J61" t="str">
        <f>VLOOKUP($A61,'Type et couleur'!$B:$D,3,0)</f>
        <v>Clair_Fonce</v>
      </c>
    </row>
    <row r="62" spans="1:10" x14ac:dyDescent="0.25">
      <c r="A62" t="s">
        <v>1499</v>
      </c>
      <c r="B62" t="s">
        <v>1520</v>
      </c>
      <c r="C62" t="s">
        <v>1401</v>
      </c>
      <c r="D62" t="s">
        <v>1528</v>
      </c>
      <c r="E62">
        <v>2013</v>
      </c>
      <c r="F62" t="s">
        <v>901</v>
      </c>
      <c r="G62">
        <v>1</v>
      </c>
      <c r="H62" t="s">
        <v>97</v>
      </c>
      <c r="I62" t="str">
        <f>VLOOKUP($A62,'Type et couleur'!$B:$D,2,0)</f>
        <v>Pct</v>
      </c>
      <c r="J62" t="str">
        <f>VLOOKUP($A62,'Type et couleur'!$B:$D,3,0)</f>
        <v>Clair_Fonce</v>
      </c>
    </row>
    <row r="63" spans="1:10" x14ac:dyDescent="0.25">
      <c r="A63" t="s">
        <v>1500</v>
      </c>
      <c r="B63" t="s">
        <v>1521</v>
      </c>
      <c r="C63" t="s">
        <v>1401</v>
      </c>
      <c r="D63" t="s">
        <v>1528</v>
      </c>
      <c r="E63">
        <v>2013</v>
      </c>
      <c r="F63" t="s">
        <v>901</v>
      </c>
      <c r="G63">
        <v>1</v>
      </c>
      <c r="H63" t="s">
        <v>97</v>
      </c>
      <c r="I63" t="str">
        <f>VLOOKUP($A63,'Type et couleur'!$B:$D,2,0)</f>
        <v>Pct</v>
      </c>
      <c r="J63" t="str">
        <f>VLOOKUP($A63,'Type et couleur'!$B:$D,3,0)</f>
        <v>Clair_Fonce</v>
      </c>
    </row>
    <row r="64" spans="1:10" x14ac:dyDescent="0.25">
      <c r="A64" t="s">
        <v>1501</v>
      </c>
      <c r="B64" t="s">
        <v>1522</v>
      </c>
      <c r="C64" t="s">
        <v>1401</v>
      </c>
      <c r="D64" t="s">
        <v>1528</v>
      </c>
      <c r="E64">
        <v>2013</v>
      </c>
      <c r="F64" t="s">
        <v>901</v>
      </c>
      <c r="G64">
        <v>1</v>
      </c>
      <c r="H64" t="s">
        <v>97</v>
      </c>
      <c r="I64" t="str">
        <f>VLOOKUP($A64,'Type et couleur'!$B:$D,2,0)</f>
        <v>Pct</v>
      </c>
      <c r="J64" t="str">
        <f>VLOOKUP($A64,'Type et couleur'!$B:$D,3,0)</f>
        <v>Clair_Fonce</v>
      </c>
    </row>
    <row r="65" spans="1:10" x14ac:dyDescent="0.25">
      <c r="A65" t="s">
        <v>1502</v>
      </c>
      <c r="B65" t="s">
        <v>1524</v>
      </c>
      <c r="C65" t="s">
        <v>1236</v>
      </c>
      <c r="D65" t="s">
        <v>1662</v>
      </c>
      <c r="E65">
        <v>2013</v>
      </c>
      <c r="F65" t="s">
        <v>901</v>
      </c>
      <c r="G65">
        <v>1</v>
      </c>
      <c r="H65" t="s">
        <v>97</v>
      </c>
      <c r="I65" t="str">
        <f>VLOOKUP($A65,'Type et couleur'!$B:$D,2,0)</f>
        <v>Pct</v>
      </c>
      <c r="J65" t="str">
        <f>VLOOKUP($A65,'Type et couleur'!$B:$D,3,0)</f>
        <v>Clair_Fonce</v>
      </c>
    </row>
    <row r="66" spans="1:10" x14ac:dyDescent="0.25">
      <c r="A66" t="s">
        <v>1503</v>
      </c>
      <c r="B66" t="s">
        <v>1523</v>
      </c>
      <c r="C66" t="s">
        <v>1236</v>
      </c>
      <c r="D66" t="s">
        <v>1662</v>
      </c>
      <c r="E66">
        <v>2013</v>
      </c>
      <c r="F66" t="s">
        <v>901</v>
      </c>
      <c r="G66">
        <v>1</v>
      </c>
      <c r="H66" t="s">
        <v>97</v>
      </c>
      <c r="I66" t="str">
        <f>VLOOKUP($A66,'Type et couleur'!$B:$D,2,0)</f>
        <v>Pct</v>
      </c>
      <c r="J66" t="str">
        <f>VLOOKUP($A66,'Type et couleur'!$B:$D,3,0)</f>
        <v>Clair_Fonce</v>
      </c>
    </row>
    <row r="67" spans="1:10" x14ac:dyDescent="0.25">
      <c r="A67" t="s">
        <v>1504</v>
      </c>
      <c r="B67" t="s">
        <v>1525</v>
      </c>
      <c r="C67" t="s">
        <v>1236</v>
      </c>
      <c r="D67" t="s">
        <v>1662</v>
      </c>
      <c r="E67">
        <v>2013</v>
      </c>
      <c r="F67" t="s">
        <v>901</v>
      </c>
      <c r="G67">
        <v>1</v>
      </c>
      <c r="H67" t="s">
        <v>97</v>
      </c>
      <c r="I67" t="str">
        <f>VLOOKUP($A67,'Type et couleur'!$B:$D,2,0)</f>
        <v>Pct</v>
      </c>
      <c r="J67" t="str">
        <f>VLOOKUP($A67,'Type et couleur'!$B:$D,3,0)</f>
        <v>Clair_Fonce</v>
      </c>
    </row>
    <row r="68" spans="1:10" x14ac:dyDescent="0.25">
      <c r="A68" t="s">
        <v>1505</v>
      </c>
      <c r="B68" t="s">
        <v>1526</v>
      </c>
      <c r="C68" t="s">
        <v>1236</v>
      </c>
      <c r="D68" t="s">
        <v>1662</v>
      </c>
      <c r="E68">
        <v>2013</v>
      </c>
      <c r="F68" t="s">
        <v>901</v>
      </c>
      <c r="G68">
        <v>1</v>
      </c>
      <c r="H68" t="s">
        <v>97</v>
      </c>
      <c r="I68" t="str">
        <f>VLOOKUP($A68,'Type et couleur'!$B:$D,2,0)</f>
        <v>Pct</v>
      </c>
      <c r="J68" t="str">
        <f>VLOOKUP($A68,'Type et couleur'!$B:$D,3,0)</f>
        <v>Clair_Fonce</v>
      </c>
    </row>
    <row r="69" spans="1:10" x14ac:dyDescent="0.25">
      <c r="A69" t="s">
        <v>1506</v>
      </c>
      <c r="B69" t="s">
        <v>1527</v>
      </c>
      <c r="C69" t="s">
        <v>1236</v>
      </c>
      <c r="D69" t="s">
        <v>1662</v>
      </c>
      <c r="E69">
        <v>2013</v>
      </c>
      <c r="F69" t="s">
        <v>901</v>
      </c>
      <c r="G69">
        <v>1</v>
      </c>
      <c r="H69" t="s">
        <v>97</v>
      </c>
      <c r="I69" t="str">
        <f>VLOOKUP($A69,'Type et couleur'!$B:$D,2,0)</f>
        <v>Pct</v>
      </c>
      <c r="J69" t="str">
        <f>VLOOKUP($A69,'Type et couleur'!$B:$D,3,0)</f>
        <v>Clair_Fonce</v>
      </c>
    </row>
    <row r="70" spans="1:10" x14ac:dyDescent="0.25">
      <c r="A70" t="s">
        <v>1507</v>
      </c>
      <c r="B70" t="s">
        <v>1530</v>
      </c>
      <c r="C70" t="s">
        <v>1401</v>
      </c>
      <c r="D70" t="s">
        <v>1529</v>
      </c>
      <c r="E70">
        <v>2013</v>
      </c>
      <c r="F70" t="s">
        <v>901</v>
      </c>
      <c r="G70">
        <v>1</v>
      </c>
      <c r="H70" t="s">
        <v>97</v>
      </c>
      <c r="I70" t="str">
        <f>VLOOKUP($A70,'Type et couleur'!$B:$D,2,0)</f>
        <v>Pct</v>
      </c>
      <c r="J70" t="str">
        <f>VLOOKUP($A70,'Type et couleur'!$B:$D,3,0)</f>
        <v>Clair_Fonce</v>
      </c>
    </row>
    <row r="71" spans="1:10" x14ac:dyDescent="0.25">
      <c r="A71" t="s">
        <v>1508</v>
      </c>
      <c r="B71" t="s">
        <v>1531</v>
      </c>
      <c r="C71" t="s">
        <v>1401</v>
      </c>
      <c r="D71" t="s">
        <v>1529</v>
      </c>
      <c r="E71">
        <v>2013</v>
      </c>
      <c r="F71" t="s">
        <v>901</v>
      </c>
      <c r="G71">
        <v>1</v>
      </c>
      <c r="H71" t="s">
        <v>97</v>
      </c>
      <c r="I71" t="str">
        <f>VLOOKUP($A71,'Type et couleur'!$B:$D,2,0)</f>
        <v>Pct</v>
      </c>
      <c r="J71" t="str">
        <f>VLOOKUP($A71,'Type et couleur'!$B:$D,3,0)</f>
        <v>Clair_Fonce</v>
      </c>
    </row>
    <row r="72" spans="1:10" x14ac:dyDescent="0.25">
      <c r="A72" t="s">
        <v>1509</v>
      </c>
      <c r="B72" t="s">
        <v>1532</v>
      </c>
      <c r="C72" t="s">
        <v>1401</v>
      </c>
      <c r="D72" t="s">
        <v>1529</v>
      </c>
      <c r="E72">
        <v>2013</v>
      </c>
      <c r="F72" t="s">
        <v>901</v>
      </c>
      <c r="G72">
        <v>1</v>
      </c>
      <c r="H72" t="s">
        <v>97</v>
      </c>
      <c r="I72" t="str">
        <f>VLOOKUP($A72,'Type et couleur'!$B:$D,2,0)</f>
        <v>Pct</v>
      </c>
      <c r="J72" t="str">
        <f>VLOOKUP($A72,'Type et couleur'!$B:$D,3,0)</f>
        <v>Clair_Fonce</v>
      </c>
    </row>
    <row r="73" spans="1:10" x14ac:dyDescent="0.25">
      <c r="A73" t="s">
        <v>1510</v>
      </c>
      <c r="B73" t="s">
        <v>1533</v>
      </c>
      <c r="C73" t="s">
        <v>1401</v>
      </c>
      <c r="D73" t="s">
        <v>1529</v>
      </c>
      <c r="E73">
        <v>2013</v>
      </c>
      <c r="F73" t="s">
        <v>901</v>
      </c>
      <c r="G73">
        <v>1</v>
      </c>
      <c r="H73" t="s">
        <v>97</v>
      </c>
      <c r="I73" t="str">
        <f>VLOOKUP($A73,'Type et couleur'!$B:$D,2,0)</f>
        <v>Pct</v>
      </c>
      <c r="J73" t="str">
        <f>VLOOKUP($A73,'Type et couleur'!$B:$D,3,0)</f>
        <v>Clair_Fonce</v>
      </c>
    </row>
    <row r="74" spans="1:10" x14ac:dyDescent="0.25">
      <c r="A74" t="s">
        <v>1511</v>
      </c>
      <c r="B74" t="s">
        <v>1534</v>
      </c>
      <c r="C74" t="s">
        <v>1401</v>
      </c>
      <c r="D74" t="s">
        <v>1529</v>
      </c>
      <c r="E74">
        <v>2013</v>
      </c>
      <c r="F74" t="s">
        <v>901</v>
      </c>
      <c r="G74">
        <v>1</v>
      </c>
      <c r="H74" t="s">
        <v>97</v>
      </c>
      <c r="I74" t="str">
        <f>VLOOKUP($A74,'Type et couleur'!$B:$D,2,0)</f>
        <v>Pct</v>
      </c>
      <c r="J74" t="str">
        <f>VLOOKUP($A74,'Type et couleur'!$B:$D,3,0)</f>
        <v>Clair_Fonce</v>
      </c>
    </row>
    <row r="75" spans="1:10" x14ac:dyDescent="0.25">
      <c r="A75" t="s">
        <v>1535</v>
      </c>
      <c r="B75" t="s">
        <v>1537</v>
      </c>
      <c r="C75" t="s">
        <v>1401</v>
      </c>
      <c r="D75" t="s">
        <v>1536</v>
      </c>
      <c r="E75">
        <v>2016</v>
      </c>
      <c r="F75" t="s">
        <v>1639</v>
      </c>
      <c r="G75">
        <v>1</v>
      </c>
      <c r="H75" t="s">
        <v>97</v>
      </c>
      <c r="I75" t="str">
        <f>VLOOKUP($A75,'Type et couleur'!$B:$D,2,0)</f>
        <v>Abs</v>
      </c>
      <c r="J75" t="str">
        <f>VLOOKUP($A75,'Type et couleur'!$B:$D,3,0)</f>
        <v>Clair_Fonce</v>
      </c>
    </row>
    <row r="76" spans="1:10" x14ac:dyDescent="0.25">
      <c r="A76" t="s">
        <v>1546</v>
      </c>
      <c r="B76" t="s">
        <v>1562</v>
      </c>
      <c r="C76" t="s">
        <v>1401</v>
      </c>
      <c r="D76" t="s">
        <v>1547</v>
      </c>
      <c r="E76">
        <v>2013</v>
      </c>
      <c r="F76" t="s">
        <v>1640</v>
      </c>
      <c r="G76">
        <v>1</v>
      </c>
      <c r="H76" t="s">
        <v>1515</v>
      </c>
      <c r="I76" t="str">
        <f>VLOOKUP($A76,'Type et couleur'!$B:$D,2,0)</f>
        <v>Abs</v>
      </c>
      <c r="J76" t="str">
        <f>VLOOKUP($A76,'Type et couleur'!$B:$D,3,0)</f>
        <v>Clair_Fonce</v>
      </c>
    </row>
    <row r="77" spans="1:10" x14ac:dyDescent="0.25">
      <c r="A77" t="s">
        <v>1548</v>
      </c>
      <c r="B77" t="s">
        <v>1571</v>
      </c>
      <c r="C77" t="s">
        <v>1401</v>
      </c>
      <c r="D77" t="s">
        <v>1547</v>
      </c>
      <c r="E77">
        <v>2013</v>
      </c>
      <c r="F77" t="s">
        <v>1640</v>
      </c>
      <c r="G77">
        <v>1</v>
      </c>
      <c r="H77" t="s">
        <v>1515</v>
      </c>
      <c r="I77" t="str">
        <f>VLOOKUP($A77,'Type et couleur'!$B:$D,2,0)</f>
        <v>Pct</v>
      </c>
      <c r="J77" t="str">
        <f>VLOOKUP($A77,'Type et couleur'!$B:$D,3,0)</f>
        <v>Clair_Fonce</v>
      </c>
    </row>
    <row r="78" spans="1:10" x14ac:dyDescent="0.25">
      <c r="A78" t="s">
        <v>1549</v>
      </c>
      <c r="B78" t="s">
        <v>1572</v>
      </c>
      <c r="C78" t="s">
        <v>1401</v>
      </c>
      <c r="D78" t="s">
        <v>1547</v>
      </c>
      <c r="E78">
        <v>2013</v>
      </c>
      <c r="F78" t="s">
        <v>1640</v>
      </c>
      <c r="G78">
        <v>1</v>
      </c>
      <c r="H78" t="s">
        <v>1515</v>
      </c>
      <c r="I78" t="str">
        <f>VLOOKUP($A78,'Type et couleur'!$B:$D,2,0)</f>
        <v>Pct</v>
      </c>
      <c r="J78" t="str">
        <f>VLOOKUP($A78,'Type et couleur'!$B:$D,3,0)</f>
        <v>Clair_Fonce</v>
      </c>
    </row>
    <row r="79" spans="1:10" x14ac:dyDescent="0.25">
      <c r="A79" t="s">
        <v>1550</v>
      </c>
      <c r="B79" t="s">
        <v>1556</v>
      </c>
      <c r="C79" t="s">
        <v>1401</v>
      </c>
      <c r="D79" t="s">
        <v>1547</v>
      </c>
      <c r="E79">
        <v>2013</v>
      </c>
      <c r="F79" t="s">
        <v>1640</v>
      </c>
      <c r="G79">
        <v>1</v>
      </c>
      <c r="H79" t="s">
        <v>1515</v>
      </c>
      <c r="I79" t="str">
        <f>VLOOKUP($A79,'Type et couleur'!$B:$D,2,0)</f>
        <v>Pct</v>
      </c>
      <c r="J79" t="str">
        <f>VLOOKUP($A79,'Type et couleur'!$B:$D,3,0)</f>
        <v>Clair_Fonce</v>
      </c>
    </row>
    <row r="80" spans="1:10" x14ac:dyDescent="0.25">
      <c r="A80" t="s">
        <v>1551</v>
      </c>
      <c r="B80" t="s">
        <v>1557</v>
      </c>
      <c r="C80" t="s">
        <v>1401</v>
      </c>
      <c r="D80" t="s">
        <v>1547</v>
      </c>
      <c r="E80">
        <v>2013</v>
      </c>
      <c r="F80" t="s">
        <v>1640</v>
      </c>
      <c r="G80">
        <v>1</v>
      </c>
      <c r="H80" t="s">
        <v>1515</v>
      </c>
      <c r="I80" t="str">
        <f>VLOOKUP($A80,'Type et couleur'!$B:$D,2,0)</f>
        <v>Pct</v>
      </c>
      <c r="J80" t="str">
        <f>VLOOKUP($A80,'Type et couleur'!$B:$D,3,0)</f>
        <v>Clair_Fonce</v>
      </c>
    </row>
    <row r="81" spans="1:10" x14ac:dyDescent="0.25">
      <c r="A81" t="s">
        <v>1552</v>
      </c>
      <c r="B81" t="s">
        <v>1558</v>
      </c>
      <c r="C81" t="s">
        <v>1401</v>
      </c>
      <c r="D81" t="s">
        <v>1547</v>
      </c>
      <c r="E81">
        <v>2013</v>
      </c>
      <c r="F81" t="s">
        <v>1640</v>
      </c>
      <c r="G81">
        <v>1</v>
      </c>
      <c r="H81" t="s">
        <v>1515</v>
      </c>
      <c r="I81" t="str">
        <f>VLOOKUP($A81,'Type et couleur'!$B:$D,2,0)</f>
        <v>Pct</v>
      </c>
      <c r="J81" t="str">
        <f>VLOOKUP($A81,'Type et couleur'!$B:$D,3,0)</f>
        <v>Clair_Fonce</v>
      </c>
    </row>
    <row r="82" spans="1:10" x14ac:dyDescent="0.25">
      <c r="A82" t="s">
        <v>1553</v>
      </c>
      <c r="B82" t="s">
        <v>1559</v>
      </c>
      <c r="C82" t="s">
        <v>1401</v>
      </c>
      <c r="D82" t="s">
        <v>1547</v>
      </c>
      <c r="E82">
        <v>2013</v>
      </c>
      <c r="F82" t="s">
        <v>1640</v>
      </c>
      <c r="G82">
        <v>1</v>
      </c>
      <c r="H82" t="s">
        <v>1515</v>
      </c>
      <c r="I82" t="str">
        <f>VLOOKUP($A82,'Type et couleur'!$B:$D,2,0)</f>
        <v>Pct</v>
      </c>
      <c r="J82" t="str">
        <f>VLOOKUP($A82,'Type et couleur'!$B:$D,3,0)</f>
        <v>Clair_Fonce</v>
      </c>
    </row>
    <row r="83" spans="1:10" x14ac:dyDescent="0.25">
      <c r="A83" t="s">
        <v>1554</v>
      </c>
      <c r="B83" t="s">
        <v>1560</v>
      </c>
      <c r="C83" t="s">
        <v>1401</v>
      </c>
      <c r="D83" t="s">
        <v>1547</v>
      </c>
      <c r="E83">
        <v>2013</v>
      </c>
      <c r="F83" t="s">
        <v>1640</v>
      </c>
      <c r="G83">
        <v>1</v>
      </c>
      <c r="H83" t="s">
        <v>1515</v>
      </c>
      <c r="I83" t="str">
        <f>VLOOKUP($A83,'Type et couleur'!$B:$D,2,0)</f>
        <v>Pct</v>
      </c>
      <c r="J83" t="str">
        <f>VLOOKUP($A83,'Type et couleur'!$B:$D,3,0)</f>
        <v>Clair_Fonce</v>
      </c>
    </row>
    <row r="84" spans="1:10" x14ac:dyDescent="0.25">
      <c r="A84" t="s">
        <v>1555</v>
      </c>
      <c r="B84" t="s">
        <v>1561</v>
      </c>
      <c r="C84" t="s">
        <v>1401</v>
      </c>
      <c r="D84" t="s">
        <v>1547</v>
      </c>
      <c r="E84">
        <v>2013</v>
      </c>
      <c r="F84" t="s">
        <v>1640</v>
      </c>
      <c r="G84">
        <v>1</v>
      </c>
      <c r="H84" t="s">
        <v>1515</v>
      </c>
      <c r="I84" t="str">
        <f>VLOOKUP($A84,'Type et couleur'!$B:$D,2,0)</f>
        <v>Pct</v>
      </c>
      <c r="J84" t="str">
        <f>VLOOKUP($A84,'Type et couleur'!$B:$D,3,0)</f>
        <v>Clair_Fonce</v>
      </c>
    </row>
    <row r="85" spans="1:10" x14ac:dyDescent="0.25">
      <c r="A85" t="s">
        <v>75</v>
      </c>
      <c r="B85" t="s">
        <v>79</v>
      </c>
      <c r="C85" t="s">
        <v>918</v>
      </c>
      <c r="D85" t="s">
        <v>1440</v>
      </c>
      <c r="E85">
        <v>2017</v>
      </c>
      <c r="F85" t="s">
        <v>1447</v>
      </c>
      <c r="G85">
        <v>1</v>
      </c>
      <c r="H85" t="s">
        <v>1515</v>
      </c>
      <c r="I85" t="str">
        <f>VLOOKUP($A85,'Type et couleur'!$B:$D,2,0)</f>
        <v>Factor</v>
      </c>
      <c r="J85" t="str">
        <f>VLOOKUP($A85,'Type et couleur'!$B:$D,3,0)</f>
        <v>Factor</v>
      </c>
    </row>
    <row r="86" spans="1:10" x14ac:dyDescent="0.25">
      <c r="A86" t="s">
        <v>58</v>
      </c>
      <c r="B86" t="s">
        <v>59</v>
      </c>
      <c r="C86" t="s">
        <v>918</v>
      </c>
      <c r="D86" t="s">
        <v>899</v>
      </c>
      <c r="E86">
        <v>2017</v>
      </c>
      <c r="F86" t="s">
        <v>1447</v>
      </c>
      <c r="G86">
        <v>1</v>
      </c>
      <c r="H86" t="s">
        <v>1515</v>
      </c>
      <c r="I86" t="str">
        <f>VLOOKUP($A86,'Type et couleur'!$B:$D,2,0)</f>
        <v>Factor</v>
      </c>
      <c r="J86" t="str">
        <f>VLOOKUP($A86,'Type et couleur'!$B:$D,3,0)</f>
        <v>Factor</v>
      </c>
    </row>
    <row r="87" spans="1:10" x14ac:dyDescent="0.25">
      <c r="A87" t="s">
        <v>60</v>
      </c>
      <c r="B87" t="s">
        <v>60</v>
      </c>
      <c r="C87" t="s">
        <v>918</v>
      </c>
      <c r="D87" t="s">
        <v>899</v>
      </c>
      <c r="E87">
        <v>2017</v>
      </c>
      <c r="F87" t="s">
        <v>1447</v>
      </c>
      <c r="G87">
        <v>1</v>
      </c>
      <c r="H87" t="s">
        <v>1515</v>
      </c>
      <c r="I87" t="str">
        <f>VLOOKUP($A87,'Type et couleur'!$B:$D,2,0)</f>
        <v>Factor</v>
      </c>
      <c r="J87" t="str">
        <f>VLOOKUP($A87,'Type et couleur'!$B:$D,3,0)</f>
        <v>Factor</v>
      </c>
    </row>
    <row r="88" spans="1:10" x14ac:dyDescent="0.25">
      <c r="A88" t="s">
        <v>61</v>
      </c>
      <c r="B88" t="s">
        <v>858</v>
      </c>
      <c r="C88" t="s">
        <v>918</v>
      </c>
      <c r="D88" t="s">
        <v>899</v>
      </c>
      <c r="E88">
        <v>2017</v>
      </c>
      <c r="F88" t="s">
        <v>1447</v>
      </c>
      <c r="G88">
        <v>1</v>
      </c>
      <c r="H88" t="s">
        <v>1515</v>
      </c>
      <c r="I88" t="str">
        <f>VLOOKUP($A88,'Type et couleur'!$B:$D,2,0)</f>
        <v>Factor</v>
      </c>
      <c r="J88" t="str">
        <f>VLOOKUP($A88,'Type et couleur'!$B:$D,3,0)</f>
        <v>Factor</v>
      </c>
    </row>
    <row r="89" spans="1:10" x14ac:dyDescent="0.25">
      <c r="A89" t="s">
        <v>62</v>
      </c>
      <c r="B89" t="s">
        <v>1350</v>
      </c>
      <c r="C89" t="s">
        <v>918</v>
      </c>
      <c r="D89" t="s">
        <v>899</v>
      </c>
      <c r="E89">
        <v>2017</v>
      </c>
      <c r="F89" t="s">
        <v>1447</v>
      </c>
      <c r="G89">
        <v>1</v>
      </c>
      <c r="H89" t="s">
        <v>1515</v>
      </c>
      <c r="I89" t="str">
        <f>VLOOKUP($A89,'Type et couleur'!$B:$D,2,0)</f>
        <v>Factor</v>
      </c>
      <c r="J89" t="str">
        <f>VLOOKUP($A89,'Type et couleur'!$B:$D,3,0)</f>
        <v>Factor</v>
      </c>
    </row>
    <row r="90" spans="1:10" x14ac:dyDescent="0.25">
      <c r="A90" t="s">
        <v>63</v>
      </c>
      <c r="B90" t="s">
        <v>64</v>
      </c>
      <c r="C90" t="s">
        <v>918</v>
      </c>
      <c r="D90" t="s">
        <v>899</v>
      </c>
      <c r="E90">
        <v>2017</v>
      </c>
      <c r="F90" t="s">
        <v>1447</v>
      </c>
      <c r="G90">
        <v>1</v>
      </c>
      <c r="H90" t="s">
        <v>1515</v>
      </c>
      <c r="I90" t="str">
        <f>VLOOKUP($A90,'Type et couleur'!$B:$D,2,0)</f>
        <v>Factor</v>
      </c>
      <c r="J90" t="str">
        <f>VLOOKUP($A90,'Type et couleur'!$B:$D,3,0)</f>
        <v>Factor</v>
      </c>
    </row>
    <row r="91" spans="1:10" x14ac:dyDescent="0.25">
      <c r="A91" t="s">
        <v>65</v>
      </c>
      <c r="B91" t="s">
        <v>66</v>
      </c>
      <c r="C91" t="s">
        <v>918</v>
      </c>
      <c r="D91" t="s">
        <v>899</v>
      </c>
      <c r="E91">
        <v>2017</v>
      </c>
      <c r="F91" t="s">
        <v>1447</v>
      </c>
      <c r="G91">
        <v>1</v>
      </c>
      <c r="H91" t="s">
        <v>1515</v>
      </c>
      <c r="I91" t="str">
        <f>VLOOKUP($A91,'Type et couleur'!$B:$D,2,0)</f>
        <v>Factor</v>
      </c>
      <c r="J91" t="str">
        <f>VLOOKUP($A91,'Type et couleur'!$B:$D,3,0)</f>
        <v>Factor</v>
      </c>
    </row>
    <row r="92" spans="1:10" x14ac:dyDescent="0.25">
      <c r="A92" t="s">
        <v>67</v>
      </c>
      <c r="B92" t="s">
        <v>68</v>
      </c>
      <c r="C92" t="s">
        <v>918</v>
      </c>
      <c r="D92" t="s">
        <v>899</v>
      </c>
      <c r="E92">
        <v>2017</v>
      </c>
      <c r="F92" t="s">
        <v>1447</v>
      </c>
      <c r="G92">
        <v>1</v>
      </c>
      <c r="H92" t="s">
        <v>1515</v>
      </c>
      <c r="I92" t="str">
        <f>VLOOKUP($A92,'Type et couleur'!$B:$D,2,0)</f>
        <v>Factor</v>
      </c>
      <c r="J92" t="str">
        <f>VLOOKUP($A92,'Type et couleur'!$B:$D,3,0)</f>
        <v>Factor</v>
      </c>
    </row>
    <row r="93" spans="1:10" x14ac:dyDescent="0.25">
      <c r="A93" t="s">
        <v>69</v>
      </c>
      <c r="B93" t="s">
        <v>70</v>
      </c>
      <c r="C93" t="s">
        <v>918</v>
      </c>
      <c r="D93" t="s">
        <v>899</v>
      </c>
      <c r="E93">
        <v>2017</v>
      </c>
      <c r="F93" t="s">
        <v>1447</v>
      </c>
      <c r="G93">
        <v>1</v>
      </c>
      <c r="H93" t="s">
        <v>1515</v>
      </c>
      <c r="I93" t="str">
        <f>VLOOKUP($A93,'Type et couleur'!$B:$D,2,0)</f>
        <v>Factor</v>
      </c>
      <c r="J93" t="str">
        <f>VLOOKUP($A93,'Type et couleur'!$B:$D,3,0)</f>
        <v>Factor</v>
      </c>
    </row>
    <row r="94" spans="1:10" x14ac:dyDescent="0.25">
      <c r="A94" t="s">
        <v>1679</v>
      </c>
      <c r="B94" t="s">
        <v>95</v>
      </c>
      <c r="C94" t="s">
        <v>918</v>
      </c>
      <c r="D94" t="s">
        <v>1440</v>
      </c>
      <c r="E94">
        <v>2017</v>
      </c>
      <c r="F94" t="s">
        <v>1447</v>
      </c>
      <c r="G94">
        <v>1</v>
      </c>
      <c r="H94" t="s">
        <v>1515</v>
      </c>
      <c r="I94" t="str">
        <f>VLOOKUP($A94,'Type et couleur'!$B:$D,2,0)</f>
        <v>Abs</v>
      </c>
      <c r="J94" t="str">
        <f>VLOOKUP($A94,'Type et couleur'!$B:$D,3,0)</f>
        <v>Clair_Fonce</v>
      </c>
    </row>
    <row r="95" spans="1:10" x14ac:dyDescent="0.25">
      <c r="A95" t="s">
        <v>1680</v>
      </c>
      <c r="B95" t="s">
        <v>866</v>
      </c>
      <c r="C95" t="s">
        <v>918</v>
      </c>
      <c r="D95" t="s">
        <v>1440</v>
      </c>
      <c r="E95">
        <v>2017</v>
      </c>
      <c r="F95" t="s">
        <v>1447</v>
      </c>
      <c r="G95">
        <v>1</v>
      </c>
      <c r="H95" t="s">
        <v>1515</v>
      </c>
      <c r="I95" t="str">
        <f>VLOOKUP($A95,'Type et couleur'!$B:$D,2,0)</f>
        <v>Abs</v>
      </c>
      <c r="J95" t="str">
        <f>VLOOKUP($A95,'Type et couleur'!$B:$D,3,0)</f>
        <v>Clair_Fonce</v>
      </c>
    </row>
    <row r="96" spans="1:10" x14ac:dyDescent="0.25">
      <c r="A96" t="s">
        <v>1622</v>
      </c>
      <c r="B96" t="s">
        <v>1631</v>
      </c>
      <c r="C96" t="s">
        <v>1236</v>
      </c>
      <c r="D96" t="s">
        <v>1628</v>
      </c>
      <c r="E96">
        <v>2014</v>
      </c>
      <c r="F96" t="s">
        <v>1348</v>
      </c>
      <c r="G96">
        <v>1</v>
      </c>
      <c r="H96" t="s">
        <v>1515</v>
      </c>
      <c r="I96" t="str">
        <f>VLOOKUP($A96,'Type et couleur'!$B:$D,2,0)</f>
        <v>Abs</v>
      </c>
      <c r="J96" t="str">
        <f>VLOOKUP($A96,'Type et couleur'!$B:$D,3,0)</f>
        <v>Clair_Fonce</v>
      </c>
    </row>
    <row r="97" spans="1:10" x14ac:dyDescent="0.25">
      <c r="A97" t="s">
        <v>1623</v>
      </c>
      <c r="B97" t="s">
        <v>1632</v>
      </c>
      <c r="C97" t="s">
        <v>1236</v>
      </c>
      <c r="D97" t="s">
        <v>1628</v>
      </c>
      <c r="E97">
        <v>2014</v>
      </c>
      <c r="F97" t="s">
        <v>1348</v>
      </c>
      <c r="G97">
        <v>1</v>
      </c>
      <c r="H97" t="s">
        <v>1515</v>
      </c>
      <c r="I97" t="str">
        <f>VLOOKUP($A97,'Type et couleur'!$B:$D,2,0)</f>
        <v>Abs</v>
      </c>
      <c r="J97" t="str">
        <f>VLOOKUP($A97,'Type et couleur'!$B:$D,3,0)</f>
        <v>Clair_Fonce</v>
      </c>
    </row>
    <row r="98" spans="1:10" x14ac:dyDescent="0.25">
      <c r="A98" t="s">
        <v>1624</v>
      </c>
      <c r="B98" t="s">
        <v>1633</v>
      </c>
      <c r="C98" t="s">
        <v>1236</v>
      </c>
      <c r="D98" t="s">
        <v>1628</v>
      </c>
      <c r="E98">
        <v>2014</v>
      </c>
      <c r="F98" t="s">
        <v>1348</v>
      </c>
      <c r="G98">
        <v>1</v>
      </c>
      <c r="H98" t="s">
        <v>1515</v>
      </c>
      <c r="I98" t="str">
        <f>VLOOKUP($A98,'Type et couleur'!$B:$D,2,0)</f>
        <v>Abs</v>
      </c>
      <c r="J98" t="str">
        <f>VLOOKUP($A98,'Type et couleur'!$B:$D,3,0)</f>
        <v>Clair_Fonce</v>
      </c>
    </row>
    <row r="99" spans="1:10" x14ac:dyDescent="0.25">
      <c r="A99" t="s">
        <v>1625</v>
      </c>
      <c r="B99" t="s">
        <v>1634</v>
      </c>
      <c r="C99" t="s">
        <v>1236</v>
      </c>
      <c r="D99" t="s">
        <v>1628</v>
      </c>
      <c r="E99">
        <v>2014</v>
      </c>
      <c r="F99" t="s">
        <v>1348</v>
      </c>
      <c r="G99">
        <v>1</v>
      </c>
      <c r="H99" t="s">
        <v>1515</v>
      </c>
      <c r="I99" t="str">
        <f>VLOOKUP($A99,'Type et couleur'!$B:$D,2,0)</f>
        <v>Abs</v>
      </c>
      <c r="J99" t="str">
        <f>VLOOKUP($A99,'Type et couleur'!$B:$D,3,0)</f>
        <v>Clair_Fonce</v>
      </c>
    </row>
    <row r="100" spans="1:10" x14ac:dyDescent="0.25">
      <c r="A100" t="s">
        <v>1626</v>
      </c>
      <c r="B100" t="s">
        <v>1750</v>
      </c>
      <c r="C100" t="s">
        <v>1236</v>
      </c>
      <c r="D100" t="s">
        <v>1628</v>
      </c>
      <c r="E100">
        <v>2014</v>
      </c>
      <c r="F100" t="s">
        <v>1348</v>
      </c>
      <c r="G100">
        <v>1</v>
      </c>
      <c r="H100" t="s">
        <v>1515</v>
      </c>
      <c r="I100" t="str">
        <f>VLOOKUP($A100,'Type et couleur'!$B:$D,2,0)</f>
        <v>Abs</v>
      </c>
      <c r="J100" t="str">
        <f>VLOOKUP($A100,'Type et couleur'!$B:$D,3,0)</f>
        <v>Clair_Fonce</v>
      </c>
    </row>
    <row r="101" spans="1:10" x14ac:dyDescent="0.25">
      <c r="A101" t="s">
        <v>1627</v>
      </c>
      <c r="B101" t="s">
        <v>1635</v>
      </c>
      <c r="C101" t="s">
        <v>1236</v>
      </c>
      <c r="D101" t="s">
        <v>1628</v>
      </c>
      <c r="E101">
        <v>2014</v>
      </c>
      <c r="F101" t="s">
        <v>1348</v>
      </c>
      <c r="G101">
        <v>1</v>
      </c>
      <c r="H101" t="s">
        <v>1515</v>
      </c>
      <c r="I101" t="str">
        <f>VLOOKUP($A101,'Type et couleur'!$B:$D,2,0)</f>
        <v>Abs</v>
      </c>
      <c r="J101" t="str">
        <f>VLOOKUP($A101,'Type et couleur'!$B:$D,3,0)</f>
        <v>Clair_Fonce</v>
      </c>
    </row>
    <row r="102" spans="1:10" x14ac:dyDescent="0.25">
      <c r="A102" t="s">
        <v>1629</v>
      </c>
      <c r="B102" t="s">
        <v>1630</v>
      </c>
      <c r="C102" t="s">
        <v>1236</v>
      </c>
      <c r="D102" t="s">
        <v>1628</v>
      </c>
      <c r="E102">
        <v>2014</v>
      </c>
      <c r="F102" t="s">
        <v>1348</v>
      </c>
      <c r="G102">
        <v>1</v>
      </c>
      <c r="H102" t="s">
        <v>1515</v>
      </c>
      <c r="I102" t="str">
        <f>VLOOKUP($A102,'Type et couleur'!$B:$D,2,0)</f>
        <v>Abs</v>
      </c>
      <c r="J102" t="str">
        <f>VLOOKUP($A102,'Type et couleur'!$B:$D,3,0)</f>
        <v>Clair_Fonce</v>
      </c>
    </row>
    <row r="103" spans="1:10" x14ac:dyDescent="0.25">
      <c r="A103" t="s">
        <v>7</v>
      </c>
      <c r="B103" t="s">
        <v>8</v>
      </c>
      <c r="C103" t="s">
        <v>9</v>
      </c>
      <c r="D103" t="s">
        <v>923</v>
      </c>
      <c r="E103">
        <v>2013</v>
      </c>
      <c r="F103" t="s">
        <v>901</v>
      </c>
      <c r="G103">
        <v>1</v>
      </c>
      <c r="H103" t="s">
        <v>97</v>
      </c>
      <c r="I103" t="str">
        <f>VLOOKUP($A103,'Type et couleur'!$B:$D,2,0)</f>
        <v>Abs</v>
      </c>
      <c r="J103" t="str">
        <f>VLOOKUP($A103,'Type et couleur'!$B:$D,3,0)</f>
        <v>Clair_Fonce</v>
      </c>
    </row>
    <row r="104" spans="1:10" x14ac:dyDescent="0.25">
      <c r="A104" t="s">
        <v>24</v>
      </c>
      <c r="B104" t="s">
        <v>25</v>
      </c>
      <c r="C104" t="s">
        <v>9</v>
      </c>
      <c r="D104" t="s">
        <v>923</v>
      </c>
      <c r="E104">
        <v>2013</v>
      </c>
      <c r="F104" t="s">
        <v>901</v>
      </c>
      <c r="G104">
        <v>1</v>
      </c>
      <c r="H104" t="s">
        <v>97</v>
      </c>
      <c r="I104" t="str">
        <f>VLOOKUP($A104,'Type et couleur'!$B:$D,2,0)</f>
        <v>Pct</v>
      </c>
      <c r="J104" t="str">
        <f>VLOOKUP($A104,'Type et couleur'!$B:$D,3,0)</f>
        <v>Clair_Fonce</v>
      </c>
    </row>
    <row r="105" spans="1:10" x14ac:dyDescent="0.25">
      <c r="A105" t="s">
        <v>1451</v>
      </c>
      <c r="B105" t="s">
        <v>26</v>
      </c>
      <c r="C105" t="s">
        <v>9</v>
      </c>
      <c r="D105" t="s">
        <v>923</v>
      </c>
      <c r="E105">
        <v>2013</v>
      </c>
      <c r="F105" t="s">
        <v>901</v>
      </c>
      <c r="G105">
        <v>1</v>
      </c>
      <c r="H105" t="s">
        <v>97</v>
      </c>
      <c r="I105" t="str">
        <f>VLOOKUP($A105,'Type et couleur'!$B:$D,2,0)</f>
        <v>Pct</v>
      </c>
      <c r="J105" t="str">
        <f>VLOOKUP($A105,'Type et couleur'!$B:$D,3,0)</f>
        <v>Clair_Fonce</v>
      </c>
    </row>
    <row r="106" spans="1:10" x14ac:dyDescent="0.25">
      <c r="A106" t="s">
        <v>1452</v>
      </c>
      <c r="B106" t="s">
        <v>27</v>
      </c>
      <c r="C106" t="s">
        <v>9</v>
      </c>
      <c r="D106" t="s">
        <v>923</v>
      </c>
      <c r="E106">
        <v>2013</v>
      </c>
      <c r="F106" t="s">
        <v>901</v>
      </c>
      <c r="G106">
        <v>1</v>
      </c>
      <c r="H106" t="s">
        <v>97</v>
      </c>
      <c r="I106" t="str">
        <f>VLOOKUP($A106,'Type et couleur'!$B:$D,2,0)</f>
        <v>Pct</v>
      </c>
      <c r="J106" t="str">
        <f>VLOOKUP($A106,'Type et couleur'!$B:$D,3,0)</f>
        <v>Clair_Fonce</v>
      </c>
    </row>
    <row r="107" spans="1:10" x14ac:dyDescent="0.25">
      <c r="A107" t="s">
        <v>1453</v>
      </c>
      <c r="B107" t="s">
        <v>28</v>
      </c>
      <c r="C107" t="s">
        <v>9</v>
      </c>
      <c r="D107" t="s">
        <v>923</v>
      </c>
      <c r="E107">
        <v>2013</v>
      </c>
      <c r="F107" t="s">
        <v>901</v>
      </c>
      <c r="G107">
        <v>1</v>
      </c>
      <c r="H107" t="s">
        <v>97</v>
      </c>
      <c r="I107" t="str">
        <f>VLOOKUP($A107,'Type et couleur'!$B:$D,2,0)</f>
        <v>Pct</v>
      </c>
      <c r="J107" t="str">
        <f>VLOOKUP($A107,'Type et couleur'!$B:$D,3,0)</f>
        <v>Clair_Fonce</v>
      </c>
    </row>
    <row r="108" spans="1:10" x14ac:dyDescent="0.25">
      <c r="A108" t="s">
        <v>1454</v>
      </c>
      <c r="B108" t="s">
        <v>29</v>
      </c>
      <c r="C108" t="s">
        <v>9</v>
      </c>
      <c r="D108" t="s">
        <v>923</v>
      </c>
      <c r="E108">
        <v>2013</v>
      </c>
      <c r="F108" t="s">
        <v>901</v>
      </c>
      <c r="G108">
        <v>1</v>
      </c>
      <c r="H108" t="s">
        <v>97</v>
      </c>
      <c r="I108" t="str">
        <f>VLOOKUP($A108,'Type et couleur'!$B:$D,2,0)</f>
        <v>Pct</v>
      </c>
      <c r="J108" t="str">
        <f>VLOOKUP($A108,'Type et couleur'!$B:$D,3,0)</f>
        <v>Clair_Fonce</v>
      </c>
    </row>
    <row r="109" spans="1:10" x14ac:dyDescent="0.25">
      <c r="A109" t="s">
        <v>1400</v>
      </c>
      <c r="B109" t="s">
        <v>877</v>
      </c>
      <c r="C109" t="s">
        <v>9</v>
      </c>
      <c r="D109" t="s">
        <v>1397</v>
      </c>
      <c r="E109">
        <v>2017</v>
      </c>
      <c r="F109" t="s">
        <v>1702</v>
      </c>
      <c r="G109">
        <v>1</v>
      </c>
      <c r="H109" t="s">
        <v>1515</v>
      </c>
      <c r="I109" t="str">
        <f>VLOOKUP($A109,'Type et couleur'!$B:$D,2,0)</f>
        <v>Abs</v>
      </c>
      <c r="J109" t="str">
        <f>VLOOKUP($A109,'Type et couleur'!$B:$D,3,0)</f>
        <v>Clair_Fonce</v>
      </c>
    </row>
    <row r="110" spans="1:10" x14ac:dyDescent="0.25">
      <c r="A110" t="s">
        <v>42</v>
      </c>
      <c r="B110" t="s">
        <v>883</v>
      </c>
      <c r="C110" t="s">
        <v>9</v>
      </c>
      <c r="D110" t="s">
        <v>1397</v>
      </c>
      <c r="E110">
        <v>2017</v>
      </c>
      <c r="F110" t="s">
        <v>1702</v>
      </c>
      <c r="G110">
        <v>1</v>
      </c>
      <c r="H110" t="s">
        <v>1515</v>
      </c>
      <c r="I110" t="str">
        <f>VLOOKUP($A110,'Type et couleur'!$B:$D,2,0)</f>
        <v>Abs</v>
      </c>
      <c r="J110" t="str">
        <f>VLOOKUP($A110,'Type et couleur'!$B:$D,3,0)</f>
        <v>Clair_Fonce</v>
      </c>
    </row>
    <row r="111" spans="1:10" x14ac:dyDescent="0.25">
      <c r="A111" t="s">
        <v>43</v>
      </c>
      <c r="B111" t="s">
        <v>887</v>
      </c>
      <c r="C111" t="s">
        <v>9</v>
      </c>
      <c r="D111" t="s">
        <v>1397</v>
      </c>
      <c r="E111">
        <v>2017</v>
      </c>
      <c r="F111" t="s">
        <v>1702</v>
      </c>
      <c r="G111">
        <v>1</v>
      </c>
      <c r="H111" t="s">
        <v>1515</v>
      </c>
      <c r="I111" t="str">
        <f>VLOOKUP($A111,'Type et couleur'!$B:$D,2,0)</f>
        <v>Abs</v>
      </c>
      <c r="J111" t="str">
        <f>VLOOKUP($A111,'Type et couleur'!$B:$D,3,0)</f>
        <v>Clair_Fonce</v>
      </c>
    </row>
    <row r="112" spans="1:10" x14ac:dyDescent="0.25">
      <c r="A112" t="s">
        <v>71</v>
      </c>
      <c r="B112" t="s">
        <v>91</v>
      </c>
      <c r="C112" t="s">
        <v>9</v>
      </c>
      <c r="D112" t="s">
        <v>1397</v>
      </c>
      <c r="E112">
        <v>2017</v>
      </c>
      <c r="F112" t="s">
        <v>1637</v>
      </c>
      <c r="G112">
        <v>1</v>
      </c>
      <c r="H112" t="s">
        <v>1515</v>
      </c>
      <c r="I112" t="str">
        <f>VLOOKUP($A112,'Type et couleur'!$B:$D,2,0)</f>
        <v>Abs</v>
      </c>
      <c r="J112" t="str">
        <f>VLOOKUP($A112,'Type et couleur'!$B:$D,3,0)</f>
        <v>Clair_Fonce</v>
      </c>
    </row>
    <row r="113" spans="1:10" x14ac:dyDescent="0.25">
      <c r="A113" t="s">
        <v>72</v>
      </c>
      <c r="B113" t="s">
        <v>92</v>
      </c>
      <c r="C113" t="s">
        <v>9</v>
      </c>
      <c r="D113" t="s">
        <v>1397</v>
      </c>
      <c r="E113">
        <v>2017</v>
      </c>
      <c r="F113" t="s">
        <v>1638</v>
      </c>
      <c r="G113">
        <v>1</v>
      </c>
      <c r="H113" t="s">
        <v>1515</v>
      </c>
      <c r="I113" t="str">
        <f>VLOOKUP($A113,'Type et couleur'!$B:$D,2,0)</f>
        <v>Abs</v>
      </c>
      <c r="J113" t="str">
        <f>VLOOKUP($A113,'Type et couleur'!$B:$D,3,0)</f>
        <v>Clair_Fonce</v>
      </c>
    </row>
    <row r="114" spans="1:10" x14ac:dyDescent="0.25">
      <c r="A114" t="s">
        <v>1101</v>
      </c>
      <c r="B114" t="s">
        <v>1751</v>
      </c>
      <c r="C114" t="s">
        <v>9</v>
      </c>
      <c r="D114" t="s">
        <v>1446</v>
      </c>
      <c r="E114">
        <v>2013</v>
      </c>
      <c r="F114" t="s">
        <v>1349</v>
      </c>
      <c r="G114">
        <v>1</v>
      </c>
      <c r="H114" t="s">
        <v>1515</v>
      </c>
      <c r="I114" t="str">
        <f>VLOOKUP($A114,'Type et couleur'!$B:$D,2,0)</f>
        <v>Pct</v>
      </c>
      <c r="J114" t="str">
        <f>VLOOKUP($A114,'Type et couleur'!$B:$D,3,0)</f>
        <v>Clair_Fonce</v>
      </c>
    </row>
    <row r="115" spans="1:10" x14ac:dyDescent="0.25">
      <c r="A115" t="s">
        <v>1102</v>
      </c>
      <c r="B115" t="s">
        <v>1428</v>
      </c>
      <c r="C115" t="s">
        <v>9</v>
      </c>
      <c r="D115" t="s">
        <v>1446</v>
      </c>
      <c r="E115">
        <v>2013</v>
      </c>
      <c r="F115" t="s">
        <v>1349</v>
      </c>
      <c r="G115">
        <v>1</v>
      </c>
      <c r="H115" t="s">
        <v>1515</v>
      </c>
      <c r="I115" t="str">
        <f>VLOOKUP($A115,'Type et couleur'!$B:$D,2,0)</f>
        <v>Pct</v>
      </c>
      <c r="J115" t="str">
        <f>VLOOKUP($A115,'Type et couleur'!$B:$D,3,0)</f>
        <v>Clair_Fonce</v>
      </c>
    </row>
    <row r="116" spans="1:10" x14ac:dyDescent="0.25">
      <c r="A116" t="s">
        <v>1103</v>
      </c>
      <c r="B116" t="s">
        <v>1427</v>
      </c>
      <c r="C116" t="s">
        <v>9</v>
      </c>
      <c r="D116" t="s">
        <v>1446</v>
      </c>
      <c r="E116">
        <v>2013</v>
      </c>
      <c r="F116" t="s">
        <v>1349</v>
      </c>
      <c r="G116">
        <v>1</v>
      </c>
      <c r="H116" t="s">
        <v>1515</v>
      </c>
      <c r="I116" t="str">
        <f>VLOOKUP($A116,'Type et couleur'!$B:$D,2,0)</f>
        <v>Pct</v>
      </c>
      <c r="J116" t="str">
        <f>VLOOKUP($A116,'Type et couleur'!$B:$D,3,0)</f>
        <v>Clair_Fonce</v>
      </c>
    </row>
    <row r="117" spans="1:10" x14ac:dyDescent="0.25">
      <c r="A117" t="s">
        <v>1104</v>
      </c>
      <c r="B117" t="s">
        <v>1429</v>
      </c>
      <c r="C117" t="s">
        <v>9</v>
      </c>
      <c r="D117" t="s">
        <v>1446</v>
      </c>
      <c r="E117">
        <v>2013</v>
      </c>
      <c r="F117" t="s">
        <v>1349</v>
      </c>
      <c r="G117">
        <v>1</v>
      </c>
      <c r="H117" t="s">
        <v>1515</v>
      </c>
      <c r="I117" t="str">
        <f>VLOOKUP($A117,'Type et couleur'!$B:$D,2,0)</f>
        <v>Pct</v>
      </c>
      <c r="J117" t="str">
        <f>VLOOKUP($A117,'Type et couleur'!$B:$D,3,0)</f>
        <v>Clair_Fonce</v>
      </c>
    </row>
    <row r="118" spans="1:10" x14ac:dyDescent="0.25">
      <c r="A118" t="s">
        <v>1455</v>
      </c>
      <c r="B118" t="s">
        <v>1424</v>
      </c>
      <c r="C118" t="s">
        <v>9</v>
      </c>
      <c r="D118" t="s">
        <v>923</v>
      </c>
      <c r="E118">
        <v>2013</v>
      </c>
      <c r="F118" t="s">
        <v>901</v>
      </c>
      <c r="G118">
        <v>1</v>
      </c>
      <c r="H118" t="s">
        <v>97</v>
      </c>
      <c r="I118" t="str">
        <f>VLOOKUP($A118,'Type et couleur'!$B:$D,2,0)</f>
        <v>Pct</v>
      </c>
      <c r="J118" t="str">
        <f>VLOOKUP($A118,'Type et couleur'!$B:$D,3,0)</f>
        <v>Clair_Fonce</v>
      </c>
    </row>
    <row r="119" spans="1:10" x14ac:dyDescent="0.25">
      <c r="A119" t="s">
        <v>1576</v>
      </c>
      <c r="B119" t="s">
        <v>1575</v>
      </c>
      <c r="C119" t="s">
        <v>9</v>
      </c>
      <c r="D119" t="s">
        <v>1573</v>
      </c>
      <c r="E119">
        <v>2014</v>
      </c>
      <c r="F119" t="s">
        <v>1574</v>
      </c>
      <c r="G119">
        <v>1</v>
      </c>
      <c r="H119" t="s">
        <v>1515</v>
      </c>
      <c r="I119" t="str">
        <f>VLOOKUP($A119,'Type et couleur'!$B:$D,2,0)</f>
        <v>Abs</v>
      </c>
      <c r="J119" t="str">
        <f>VLOOKUP($A119,'Type et couleur'!$B:$D,3,0)</f>
        <v>Clair_Fonce</v>
      </c>
    </row>
    <row r="120" spans="1:10" x14ac:dyDescent="0.25">
      <c r="A120" t="s">
        <v>44</v>
      </c>
      <c r="B120" t="s">
        <v>1431</v>
      </c>
      <c r="C120" t="s">
        <v>1351</v>
      </c>
      <c r="D120" t="s">
        <v>921</v>
      </c>
      <c r="E120">
        <v>2017</v>
      </c>
      <c r="F120" t="s">
        <v>1448</v>
      </c>
      <c r="G120">
        <v>1</v>
      </c>
      <c r="H120" t="s">
        <v>1515</v>
      </c>
      <c r="I120" t="str">
        <f>VLOOKUP($A120,'Type et couleur'!$B:$D,2,0)</f>
        <v>Pct</v>
      </c>
      <c r="J120" t="str">
        <f>VLOOKUP($A120,'Type et couleur'!$B:$D,3,0)</f>
        <v>Clair_Fonce</v>
      </c>
    </row>
    <row r="121" spans="1:10" x14ac:dyDescent="0.25">
      <c r="A121" t="s">
        <v>45</v>
      </c>
      <c r="B121" t="s">
        <v>1432</v>
      </c>
      <c r="C121" t="s">
        <v>1351</v>
      </c>
      <c r="D121" t="s">
        <v>921</v>
      </c>
      <c r="E121">
        <v>2017</v>
      </c>
      <c r="F121" t="s">
        <v>1448</v>
      </c>
      <c r="G121">
        <v>1</v>
      </c>
      <c r="H121" t="s">
        <v>1515</v>
      </c>
      <c r="I121" t="str">
        <f>VLOOKUP($A121,'Type et couleur'!$B:$D,2,0)</f>
        <v>Pct</v>
      </c>
      <c r="J121" t="str">
        <f>VLOOKUP($A121,'Type et couleur'!$B:$D,3,0)</f>
        <v>Clair_Fonce</v>
      </c>
    </row>
    <row r="122" spans="1:10" x14ac:dyDescent="0.25">
      <c r="A122" t="s">
        <v>46</v>
      </c>
      <c r="B122" t="s">
        <v>1433</v>
      </c>
      <c r="C122" t="s">
        <v>1351</v>
      </c>
      <c r="D122" t="s">
        <v>921</v>
      </c>
      <c r="E122">
        <v>2017</v>
      </c>
      <c r="F122" t="s">
        <v>1448</v>
      </c>
      <c r="G122">
        <v>1</v>
      </c>
      <c r="H122" t="s">
        <v>1515</v>
      </c>
      <c r="I122" t="str">
        <f>VLOOKUP($A122,'Type et couleur'!$B:$D,2,0)</f>
        <v>Pct</v>
      </c>
      <c r="J122" t="str">
        <f>VLOOKUP($A122,'Type et couleur'!$B:$D,3,0)</f>
        <v>Clair_Fonce</v>
      </c>
    </row>
    <row r="123" spans="1:10" x14ac:dyDescent="0.25">
      <c r="A123" t="s">
        <v>47</v>
      </c>
      <c r="B123" t="s">
        <v>1434</v>
      </c>
      <c r="C123" t="s">
        <v>1351</v>
      </c>
      <c r="D123" t="s">
        <v>921</v>
      </c>
      <c r="E123">
        <v>2017</v>
      </c>
      <c r="F123" t="s">
        <v>1448</v>
      </c>
      <c r="G123">
        <v>1</v>
      </c>
      <c r="H123" t="s">
        <v>1515</v>
      </c>
      <c r="I123" t="str">
        <f>VLOOKUP($A123,'Type et couleur'!$B:$D,2,0)</f>
        <v>Pct</v>
      </c>
      <c r="J123" t="str">
        <f>VLOOKUP($A123,'Type et couleur'!$B:$D,3,0)</f>
        <v>Clair_Fonce</v>
      </c>
    </row>
    <row r="124" spans="1:10" x14ac:dyDescent="0.25">
      <c r="A124" t="s">
        <v>48</v>
      </c>
      <c r="B124" t="s">
        <v>1435</v>
      </c>
      <c r="C124" t="s">
        <v>1351</v>
      </c>
      <c r="D124" t="s">
        <v>921</v>
      </c>
      <c r="E124">
        <v>2017</v>
      </c>
      <c r="F124" t="s">
        <v>1448</v>
      </c>
      <c r="G124">
        <v>1</v>
      </c>
      <c r="H124" t="s">
        <v>1515</v>
      </c>
      <c r="I124" t="str">
        <f>VLOOKUP($A124,'Type et couleur'!$B:$D,2,0)</f>
        <v>Pct</v>
      </c>
      <c r="J124" t="str">
        <f>VLOOKUP($A124,'Type et couleur'!$B:$D,3,0)</f>
        <v>Clair_Fonce</v>
      </c>
    </row>
    <row r="125" spans="1:10" x14ac:dyDescent="0.25">
      <c r="A125" t="s">
        <v>49</v>
      </c>
      <c r="B125" t="s">
        <v>1430</v>
      </c>
      <c r="C125" t="s">
        <v>1351</v>
      </c>
      <c r="D125" t="s">
        <v>921</v>
      </c>
      <c r="E125">
        <v>2017</v>
      </c>
      <c r="F125" t="s">
        <v>1448</v>
      </c>
      <c r="G125">
        <v>1</v>
      </c>
      <c r="H125" t="s">
        <v>1515</v>
      </c>
      <c r="I125" t="str">
        <f>VLOOKUP($A125,'Type et couleur'!$B:$D,2,0)</f>
        <v>Pct</v>
      </c>
      <c r="J125" t="str">
        <f>VLOOKUP($A125,'Type et couleur'!$B:$D,3,0)</f>
        <v>Clair_Fonce</v>
      </c>
    </row>
    <row r="126" spans="1:10" x14ac:dyDescent="0.25">
      <c r="A126" t="s">
        <v>50</v>
      </c>
      <c r="B126" t="s">
        <v>51</v>
      </c>
      <c r="C126" t="s">
        <v>1351</v>
      </c>
      <c r="D126" t="s">
        <v>922</v>
      </c>
      <c r="E126">
        <v>2017</v>
      </c>
      <c r="F126" t="s">
        <v>1448</v>
      </c>
      <c r="G126">
        <v>1</v>
      </c>
      <c r="H126" t="s">
        <v>1515</v>
      </c>
      <c r="I126" t="str">
        <f>VLOOKUP($A126,'Type et couleur'!$B:$D,2,0)</f>
        <v>Pct</v>
      </c>
      <c r="J126" t="str">
        <f>VLOOKUP($A126,'Type et couleur'!$B:$D,3,0)</f>
        <v>Clair_Fonce</v>
      </c>
    </row>
    <row r="127" spans="1:10" x14ac:dyDescent="0.25">
      <c r="A127" t="s">
        <v>52</v>
      </c>
      <c r="B127" t="s">
        <v>53</v>
      </c>
      <c r="C127" t="s">
        <v>1351</v>
      </c>
      <c r="D127" t="s">
        <v>922</v>
      </c>
      <c r="E127">
        <v>2017</v>
      </c>
      <c r="F127" t="s">
        <v>1448</v>
      </c>
      <c r="G127">
        <v>1</v>
      </c>
      <c r="H127" t="s">
        <v>1515</v>
      </c>
      <c r="I127" t="str">
        <f>VLOOKUP($A127,'Type et couleur'!$B:$D,2,0)</f>
        <v>Pct</v>
      </c>
      <c r="J127" t="str">
        <f>VLOOKUP($A127,'Type et couleur'!$B:$D,3,0)</f>
        <v>Clair_Fonce</v>
      </c>
    </row>
    <row r="128" spans="1:10" x14ac:dyDescent="0.25">
      <c r="A128" t="s">
        <v>54</v>
      </c>
      <c r="B128" t="s">
        <v>55</v>
      </c>
      <c r="C128" t="s">
        <v>1351</v>
      </c>
      <c r="D128" t="s">
        <v>922</v>
      </c>
      <c r="E128">
        <v>2017</v>
      </c>
      <c r="F128" t="s">
        <v>1448</v>
      </c>
      <c r="G128">
        <v>1</v>
      </c>
      <c r="H128" t="s">
        <v>1515</v>
      </c>
      <c r="I128" t="str">
        <f>VLOOKUP($A128,'Type et couleur'!$B:$D,2,0)</f>
        <v>Pct</v>
      </c>
      <c r="J128" t="str">
        <f>VLOOKUP($A128,'Type et couleur'!$B:$D,3,0)</f>
        <v>Clair_Fonce</v>
      </c>
    </row>
    <row r="129" spans="1:10" x14ac:dyDescent="0.25">
      <c r="A129" t="s">
        <v>56</v>
      </c>
      <c r="B129" t="s">
        <v>57</v>
      </c>
      <c r="C129" t="s">
        <v>1351</v>
      </c>
      <c r="D129" t="s">
        <v>922</v>
      </c>
      <c r="E129">
        <v>2017</v>
      </c>
      <c r="F129" t="s">
        <v>1448</v>
      </c>
      <c r="G129">
        <v>1</v>
      </c>
      <c r="H129" t="s">
        <v>1515</v>
      </c>
      <c r="I129" t="str">
        <f>VLOOKUP($A129,'Type et couleur'!$B:$D,2,0)</f>
        <v>Pct</v>
      </c>
      <c r="J129" t="str">
        <f>VLOOKUP($A129,'Type et couleur'!$B:$D,3,0)</f>
        <v>Clair_Fonce</v>
      </c>
    </row>
    <row r="130" spans="1:10" x14ac:dyDescent="0.25">
      <c r="A130" t="s">
        <v>1111</v>
      </c>
      <c r="B130" t="s">
        <v>1346</v>
      </c>
      <c r="C130" t="s">
        <v>1343</v>
      </c>
      <c r="D130" t="s">
        <v>1344</v>
      </c>
      <c r="E130">
        <v>2012</v>
      </c>
      <c r="F130" t="s">
        <v>1348</v>
      </c>
      <c r="G130">
        <v>1</v>
      </c>
      <c r="H130" t="s">
        <v>1515</v>
      </c>
      <c r="I130" t="str">
        <f>VLOOKUP($A130,'Type et couleur'!$B:$D,2,0)</f>
        <v>Factor</v>
      </c>
      <c r="J130" t="str">
        <f>VLOOKUP($A130,'Type et couleur'!$B:$D,3,0)</f>
        <v>Factor_1</v>
      </c>
    </row>
    <row r="131" spans="1:10" x14ac:dyDescent="0.25">
      <c r="A131" t="s">
        <v>1113</v>
      </c>
      <c r="B131" t="s">
        <v>1347</v>
      </c>
      <c r="C131" t="s">
        <v>1343</v>
      </c>
      <c r="D131" t="s">
        <v>1344</v>
      </c>
      <c r="E131">
        <v>2012</v>
      </c>
      <c r="F131" t="s">
        <v>1348</v>
      </c>
      <c r="G131">
        <v>1</v>
      </c>
      <c r="H131" t="s">
        <v>1515</v>
      </c>
      <c r="I131" t="str">
        <f>VLOOKUP($A131,'Type et couleur'!$B:$D,2,0)</f>
        <v>Factor</v>
      </c>
      <c r="J131" t="str">
        <f>VLOOKUP($A131,'Type et couleur'!$B:$D,3,0)</f>
        <v>Factor_2</v>
      </c>
    </row>
    <row r="132" spans="1:10" x14ac:dyDescent="0.25">
      <c r="A132" t="s">
        <v>1485</v>
      </c>
      <c r="B132" t="s">
        <v>1486</v>
      </c>
      <c r="C132" t="s">
        <v>1343</v>
      </c>
      <c r="D132" t="s">
        <v>1474</v>
      </c>
      <c r="E132">
        <v>2013</v>
      </c>
      <c r="F132" t="s">
        <v>1348</v>
      </c>
      <c r="G132">
        <v>1</v>
      </c>
      <c r="H132" t="s">
        <v>1515</v>
      </c>
      <c r="I132" t="str">
        <f>VLOOKUP($A132,'Type et couleur'!$B:$D,2,0)</f>
        <v>Factor</v>
      </c>
      <c r="J132" t="str">
        <f>VLOOKUP($A132,'Type et couleur'!$B:$D,3,0)</f>
        <v>Factor_3</v>
      </c>
    </row>
    <row r="133" spans="1:10" x14ac:dyDescent="0.25">
      <c r="A133" t="s">
        <v>1484</v>
      </c>
      <c r="B133" t="s">
        <v>1487</v>
      </c>
      <c r="C133" t="s">
        <v>1343</v>
      </c>
      <c r="D133" t="s">
        <v>1474</v>
      </c>
      <c r="E133">
        <v>2013</v>
      </c>
      <c r="F133" t="s">
        <v>1348</v>
      </c>
      <c r="G133">
        <v>1</v>
      </c>
      <c r="H133" t="s">
        <v>1515</v>
      </c>
      <c r="I133" t="str">
        <f>VLOOKUP($A133,'Type et couleur'!$B:$D,2,0)</f>
        <v>Factor</v>
      </c>
      <c r="J133" t="str">
        <f>VLOOKUP($A133,'Type et couleur'!$B:$D,3,0)</f>
        <v>Factor_4</v>
      </c>
    </row>
    <row r="134" spans="1:10" x14ac:dyDescent="0.25">
      <c r="A134" t="s">
        <v>1490</v>
      </c>
      <c r="B134" t="s">
        <v>1488</v>
      </c>
      <c r="C134" t="s">
        <v>1343</v>
      </c>
      <c r="D134" t="s">
        <v>1475</v>
      </c>
      <c r="E134">
        <v>2013</v>
      </c>
      <c r="F134" t="s">
        <v>1348</v>
      </c>
      <c r="G134">
        <v>1</v>
      </c>
      <c r="H134" t="s">
        <v>1515</v>
      </c>
      <c r="I134" t="str">
        <f>VLOOKUP($A134,'Type et couleur'!$B:$D,2,0)</f>
        <v>Factor</v>
      </c>
      <c r="J134" t="str">
        <f>VLOOKUP($A134,'Type et couleur'!$B:$D,3,0)</f>
        <v>Factor_5</v>
      </c>
    </row>
    <row r="135" spans="1:10" x14ac:dyDescent="0.25">
      <c r="A135" t="s">
        <v>1491</v>
      </c>
      <c r="B135" t="s">
        <v>1489</v>
      </c>
      <c r="C135" t="s">
        <v>1343</v>
      </c>
      <c r="D135" t="s">
        <v>1475</v>
      </c>
      <c r="E135">
        <v>2013</v>
      </c>
      <c r="F135" t="s">
        <v>1348</v>
      </c>
      <c r="G135">
        <v>1</v>
      </c>
      <c r="H135" t="s">
        <v>1515</v>
      </c>
      <c r="I135" t="str">
        <f>VLOOKUP($A135,'Type et couleur'!$B:$D,2,0)</f>
        <v>Factor</v>
      </c>
      <c r="J135" t="str">
        <f>VLOOKUP($A135,'Type et couleur'!$B:$D,3,0)</f>
        <v>Factor_6</v>
      </c>
    </row>
    <row r="136" spans="1:10" x14ac:dyDescent="0.25">
      <c r="A136" t="s">
        <v>950</v>
      </c>
      <c r="B136" t="s">
        <v>1157</v>
      </c>
      <c r="C136" t="s">
        <v>919</v>
      </c>
      <c r="D136" t="s">
        <v>1224</v>
      </c>
      <c r="E136">
        <v>2015</v>
      </c>
      <c r="F136" t="s">
        <v>901</v>
      </c>
      <c r="G136">
        <v>1</v>
      </c>
      <c r="H136" t="s">
        <v>97</v>
      </c>
      <c r="I136" t="str">
        <f>VLOOKUP($A136,'Type et couleur'!$B:$D,2,0)</f>
        <v>Abs</v>
      </c>
      <c r="J136" t="str">
        <f>VLOOKUP($A136,'Type et couleur'!$B:$D,3,0)</f>
        <v>Factor</v>
      </c>
    </row>
    <row r="137" spans="1:10" x14ac:dyDescent="0.25">
      <c r="A137" t="s">
        <v>951</v>
      </c>
      <c r="B137" t="s">
        <v>1158</v>
      </c>
      <c r="C137" t="s">
        <v>919</v>
      </c>
      <c r="D137" t="s">
        <v>1265</v>
      </c>
      <c r="E137">
        <v>2015</v>
      </c>
      <c r="F137" t="s">
        <v>901</v>
      </c>
      <c r="G137">
        <v>1</v>
      </c>
      <c r="H137" t="s">
        <v>97</v>
      </c>
      <c r="I137" t="str">
        <f>VLOOKUP($A137,'Type et couleur'!$B:$D,2,0)</f>
        <v>Abs</v>
      </c>
      <c r="J137" t="str">
        <f>VLOOKUP($A137,'Type et couleur'!$B:$D,3,0)</f>
        <v>Factor</v>
      </c>
    </row>
    <row r="138" spans="1:10" x14ac:dyDescent="0.25">
      <c r="A138" t="s">
        <v>1352</v>
      </c>
      <c r="B138" t="s">
        <v>1230</v>
      </c>
      <c r="C138" t="s">
        <v>919</v>
      </c>
      <c r="D138" t="s">
        <v>920</v>
      </c>
      <c r="E138">
        <v>2015</v>
      </c>
      <c r="F138" t="s">
        <v>901</v>
      </c>
      <c r="G138">
        <v>1</v>
      </c>
      <c r="H138" t="s">
        <v>97</v>
      </c>
      <c r="I138" t="str">
        <f>VLOOKUP($A138,'Type et couleur'!$B:$D,2,0)</f>
        <v>Abs</v>
      </c>
      <c r="J138" t="str">
        <f>VLOOKUP($A138,'Type et couleur'!$B:$D,3,0)</f>
        <v>Factor</v>
      </c>
    </row>
    <row r="139" spans="1:10" x14ac:dyDescent="0.25">
      <c r="A139" t="s">
        <v>952</v>
      </c>
      <c r="B139" t="s">
        <v>1159</v>
      </c>
      <c r="C139" t="s">
        <v>919</v>
      </c>
      <c r="D139" t="s">
        <v>1226</v>
      </c>
      <c r="E139">
        <v>2015</v>
      </c>
      <c r="F139" t="s">
        <v>901</v>
      </c>
      <c r="G139">
        <v>1</v>
      </c>
      <c r="H139" t="s">
        <v>97</v>
      </c>
      <c r="I139" t="str">
        <f>VLOOKUP($A139,'Type et couleur'!$B:$D,2,0)</f>
        <v>Abs</v>
      </c>
      <c r="J139" t="str">
        <f>VLOOKUP($A139,'Type et couleur'!$B:$D,3,0)</f>
        <v>Factor</v>
      </c>
    </row>
    <row r="140" spans="1:10" x14ac:dyDescent="0.25">
      <c r="A140" t="s">
        <v>953</v>
      </c>
      <c r="B140" t="s">
        <v>953</v>
      </c>
      <c r="C140" t="s">
        <v>919</v>
      </c>
      <c r="D140" t="s">
        <v>1610</v>
      </c>
      <c r="E140">
        <v>2015</v>
      </c>
      <c r="F140" t="s">
        <v>901</v>
      </c>
      <c r="G140">
        <v>1</v>
      </c>
      <c r="H140" t="s">
        <v>97</v>
      </c>
      <c r="I140" t="str">
        <f>VLOOKUP($A140,'Type et couleur'!$B:$D,2,0)</f>
        <v>Abs</v>
      </c>
      <c r="J140" t="str">
        <f>VLOOKUP($A140,'Type et couleur'!$B:$D,3,0)</f>
        <v>Factor</v>
      </c>
    </row>
    <row r="141" spans="1:10" x14ac:dyDescent="0.25">
      <c r="A141" t="s">
        <v>954</v>
      </c>
      <c r="B141" t="s">
        <v>1261</v>
      </c>
      <c r="C141" t="s">
        <v>919</v>
      </c>
      <c r="D141" t="s">
        <v>1259</v>
      </c>
      <c r="E141">
        <v>2015</v>
      </c>
      <c r="F141" t="s">
        <v>901</v>
      </c>
      <c r="G141">
        <v>1</v>
      </c>
      <c r="H141" t="s">
        <v>97</v>
      </c>
      <c r="I141" t="str">
        <f>VLOOKUP($A141,'Type et couleur'!$B:$D,2,0)</f>
        <v>Abs</v>
      </c>
      <c r="J141" t="str">
        <f>VLOOKUP($A141,'Type et couleur'!$B:$D,3,0)</f>
        <v>Factor</v>
      </c>
    </row>
    <row r="142" spans="1:10" x14ac:dyDescent="0.25">
      <c r="A142" t="s">
        <v>960</v>
      </c>
      <c r="B142" t="s">
        <v>1258</v>
      </c>
      <c r="C142" t="s">
        <v>1236</v>
      </c>
      <c r="D142" t="s">
        <v>1651</v>
      </c>
      <c r="E142">
        <v>2015</v>
      </c>
      <c r="F142" t="s">
        <v>901</v>
      </c>
      <c r="G142">
        <v>1</v>
      </c>
      <c r="H142" t="s">
        <v>97</v>
      </c>
      <c r="I142" t="str">
        <f>VLOOKUP($A142,'Type et couleur'!$B:$D,2,0)</f>
        <v>Abs</v>
      </c>
      <c r="J142" t="str">
        <f>VLOOKUP($A142,'Type et couleur'!$B:$D,3,0)</f>
        <v>Factor</v>
      </c>
    </row>
    <row r="143" spans="1:10" x14ac:dyDescent="0.25">
      <c r="A143" t="s">
        <v>1122</v>
      </c>
      <c r="B143" t="s">
        <v>1752</v>
      </c>
      <c r="C143" t="s">
        <v>919</v>
      </c>
      <c r="D143" t="s">
        <v>920</v>
      </c>
      <c r="E143">
        <v>2015</v>
      </c>
      <c r="F143" t="s">
        <v>901</v>
      </c>
      <c r="G143">
        <v>1</v>
      </c>
      <c r="H143" t="s">
        <v>97</v>
      </c>
      <c r="I143" t="str">
        <f>VLOOKUP($A143,'Type et couleur'!$B:$D,2,0)</f>
        <v>Abs</v>
      </c>
      <c r="J143" t="str">
        <f>VLOOKUP($A143,'Type et couleur'!$B:$D,3,0)</f>
        <v>Factor</v>
      </c>
    </row>
    <row r="144" spans="1:10" x14ac:dyDescent="0.25">
      <c r="A144" t="s">
        <v>962</v>
      </c>
      <c r="B144" t="s">
        <v>1162</v>
      </c>
      <c r="C144" t="s">
        <v>919</v>
      </c>
      <c r="D144" t="s">
        <v>1259</v>
      </c>
      <c r="E144">
        <v>2015</v>
      </c>
      <c r="F144" t="s">
        <v>901</v>
      </c>
      <c r="G144">
        <v>1</v>
      </c>
      <c r="H144" t="s">
        <v>97</v>
      </c>
      <c r="I144" t="str">
        <f>VLOOKUP($A144,'Type et couleur'!$B:$D,2,0)</f>
        <v>Abs</v>
      </c>
      <c r="J144" t="str">
        <f>VLOOKUP($A144,'Type et couleur'!$B:$D,3,0)</f>
        <v>Factor</v>
      </c>
    </row>
    <row r="145" spans="1:10" x14ac:dyDescent="0.25">
      <c r="A145" t="s">
        <v>964</v>
      </c>
      <c r="B145" t="s">
        <v>1163</v>
      </c>
      <c r="C145" t="s">
        <v>919</v>
      </c>
      <c r="D145" t="s">
        <v>920</v>
      </c>
      <c r="E145">
        <v>2015</v>
      </c>
      <c r="F145" t="s">
        <v>901</v>
      </c>
      <c r="G145">
        <v>1</v>
      </c>
      <c r="H145" t="s">
        <v>97</v>
      </c>
      <c r="I145" t="str">
        <f>VLOOKUP($A145,'Type et couleur'!$B:$D,2,0)</f>
        <v>Abs</v>
      </c>
      <c r="J145" t="str">
        <f>VLOOKUP($A145,'Type et couleur'!$B:$D,3,0)</f>
        <v>Factor</v>
      </c>
    </row>
    <row r="146" spans="1:10" x14ac:dyDescent="0.25">
      <c r="A146" t="s">
        <v>10</v>
      </c>
      <c r="B146" t="s">
        <v>10</v>
      </c>
      <c r="C146" t="s">
        <v>919</v>
      </c>
      <c r="D146" t="s">
        <v>920</v>
      </c>
      <c r="E146">
        <v>2015</v>
      </c>
      <c r="F146" t="s">
        <v>901</v>
      </c>
      <c r="G146">
        <v>1</v>
      </c>
      <c r="H146" t="s">
        <v>97</v>
      </c>
      <c r="I146" t="str">
        <f>VLOOKUP($A146,'Type et couleur'!$B:$D,2,0)</f>
        <v>Abs</v>
      </c>
      <c r="J146" t="str">
        <f>VLOOKUP($A146,'Type et couleur'!$B:$D,3,0)</f>
        <v>Factor</v>
      </c>
    </row>
    <row r="147" spans="1:10" x14ac:dyDescent="0.25">
      <c r="A147" t="s">
        <v>967</v>
      </c>
      <c r="B147" t="s">
        <v>967</v>
      </c>
      <c r="C147" t="s">
        <v>919</v>
      </c>
      <c r="D147" t="s">
        <v>1259</v>
      </c>
      <c r="E147">
        <v>2015</v>
      </c>
      <c r="F147" t="s">
        <v>901</v>
      </c>
      <c r="G147">
        <v>1</v>
      </c>
      <c r="H147" t="s">
        <v>97</v>
      </c>
      <c r="I147" t="str">
        <f>VLOOKUP($A147,'Type et couleur'!$B:$D,2,0)</f>
        <v>Abs</v>
      </c>
      <c r="J147" t="str">
        <f>VLOOKUP($A147,'Type et couleur'!$B:$D,3,0)</f>
        <v>Factor</v>
      </c>
    </row>
    <row r="148" spans="1:10" x14ac:dyDescent="0.25">
      <c r="A148" t="s">
        <v>968</v>
      </c>
      <c r="B148" t="s">
        <v>1164</v>
      </c>
      <c r="C148" t="s">
        <v>919</v>
      </c>
      <c r="D148" t="s">
        <v>1226</v>
      </c>
      <c r="E148">
        <v>2015</v>
      </c>
      <c r="F148" t="s">
        <v>901</v>
      </c>
      <c r="G148">
        <v>1</v>
      </c>
      <c r="H148" t="s">
        <v>97</v>
      </c>
      <c r="I148" t="str">
        <f>VLOOKUP($A148,'Type et couleur'!$B:$D,2,0)</f>
        <v>Abs</v>
      </c>
      <c r="J148" t="str">
        <f>VLOOKUP($A148,'Type et couleur'!$B:$D,3,0)</f>
        <v>Factor</v>
      </c>
    </row>
    <row r="149" spans="1:10" x14ac:dyDescent="0.25">
      <c r="A149" t="s">
        <v>969</v>
      </c>
      <c r="B149" t="s">
        <v>1267</v>
      </c>
      <c r="C149" t="s">
        <v>919</v>
      </c>
      <c r="D149" t="s">
        <v>1265</v>
      </c>
      <c r="E149">
        <v>2015</v>
      </c>
      <c r="F149" t="s">
        <v>901</v>
      </c>
      <c r="G149">
        <v>1</v>
      </c>
      <c r="H149" t="s">
        <v>97</v>
      </c>
      <c r="I149" t="str">
        <f>VLOOKUP($A149,'Type et couleur'!$B:$D,2,0)</f>
        <v>Abs</v>
      </c>
      <c r="J149" t="str">
        <f>VLOOKUP($A149,'Type et couleur'!$B:$D,3,0)</f>
        <v>Factor</v>
      </c>
    </row>
    <row r="150" spans="1:10" x14ac:dyDescent="0.25">
      <c r="A150" t="s">
        <v>1124</v>
      </c>
      <c r="B150" t="s">
        <v>1753</v>
      </c>
      <c r="C150" t="s">
        <v>919</v>
      </c>
      <c r="D150" t="s">
        <v>1253</v>
      </c>
      <c r="E150">
        <v>2015</v>
      </c>
      <c r="F150" t="s">
        <v>901</v>
      </c>
      <c r="G150">
        <v>1</v>
      </c>
      <c r="H150" t="s">
        <v>97</v>
      </c>
      <c r="I150" t="str">
        <f>VLOOKUP($A150,'Type et couleur'!$B:$D,2,0)</f>
        <v>Abs</v>
      </c>
      <c r="J150" t="str">
        <f>VLOOKUP($A150,'Type et couleur'!$B:$D,3,0)</f>
        <v>Factor</v>
      </c>
    </row>
    <row r="151" spans="1:10" x14ac:dyDescent="0.25">
      <c r="A151" t="s">
        <v>430</v>
      </c>
      <c r="B151" t="s">
        <v>1240</v>
      </c>
      <c r="C151" t="s">
        <v>919</v>
      </c>
      <c r="D151" t="s">
        <v>1610</v>
      </c>
      <c r="E151">
        <v>2015</v>
      </c>
      <c r="F151" t="s">
        <v>901</v>
      </c>
      <c r="G151">
        <v>1</v>
      </c>
      <c r="H151" t="s">
        <v>97</v>
      </c>
      <c r="I151" t="str">
        <f>VLOOKUP($A151,'Type et couleur'!$B:$D,2,0)</f>
        <v>Abs</v>
      </c>
      <c r="J151" t="str">
        <f>VLOOKUP($A151,'Type et couleur'!$B:$D,3,0)</f>
        <v>Factor</v>
      </c>
    </row>
    <row r="152" spans="1:10" x14ac:dyDescent="0.25">
      <c r="A152" t="s">
        <v>431</v>
      </c>
      <c r="B152" t="s">
        <v>1249</v>
      </c>
      <c r="C152" t="s">
        <v>919</v>
      </c>
      <c r="D152" t="s">
        <v>1610</v>
      </c>
      <c r="E152">
        <v>2015</v>
      </c>
      <c r="F152" t="s">
        <v>901</v>
      </c>
      <c r="G152">
        <v>1</v>
      </c>
      <c r="H152" t="s">
        <v>97</v>
      </c>
      <c r="I152" t="str">
        <f>VLOOKUP($A152,'Type et couleur'!$B:$D,2,0)</f>
        <v>Abs</v>
      </c>
      <c r="J152" t="str">
        <f>VLOOKUP($A152,'Type et couleur'!$B:$D,3,0)</f>
        <v>Factor</v>
      </c>
    </row>
    <row r="153" spans="1:10" x14ac:dyDescent="0.25">
      <c r="A153" t="s">
        <v>11</v>
      </c>
      <c r="B153" t="s">
        <v>1422</v>
      </c>
      <c r="C153" t="s">
        <v>919</v>
      </c>
      <c r="D153" t="s">
        <v>1264</v>
      </c>
      <c r="E153">
        <v>2015</v>
      </c>
      <c r="F153" t="s">
        <v>901</v>
      </c>
      <c r="G153">
        <v>1</v>
      </c>
      <c r="H153" t="s">
        <v>97</v>
      </c>
      <c r="I153" t="str">
        <f>VLOOKUP($A153,'Type et couleur'!$B:$D,2,0)</f>
        <v>Abs</v>
      </c>
      <c r="J153" t="str">
        <f>VLOOKUP($A153,'Type et couleur'!$B:$D,3,0)</f>
        <v>Factor</v>
      </c>
    </row>
    <row r="154" spans="1:10" x14ac:dyDescent="0.25">
      <c r="A154" t="s">
        <v>432</v>
      </c>
      <c r="B154" t="s">
        <v>1408</v>
      </c>
      <c r="C154" t="s">
        <v>919</v>
      </c>
      <c r="D154" t="s">
        <v>920</v>
      </c>
      <c r="E154">
        <v>2015</v>
      </c>
      <c r="F154" t="s">
        <v>901</v>
      </c>
      <c r="G154">
        <v>1</v>
      </c>
      <c r="H154" t="s">
        <v>97</v>
      </c>
      <c r="I154" t="str">
        <f>VLOOKUP($A154,'Type et couleur'!$B:$D,2,0)</f>
        <v>Abs</v>
      </c>
      <c r="J154" t="str">
        <f>VLOOKUP($A154,'Type et couleur'!$B:$D,3,0)</f>
        <v>Factor</v>
      </c>
    </row>
    <row r="155" spans="1:10" x14ac:dyDescent="0.25">
      <c r="A155" t="s">
        <v>12</v>
      </c>
      <c r="B155" t="s">
        <v>1237</v>
      </c>
      <c r="C155" t="s">
        <v>919</v>
      </c>
      <c r="D155" t="s">
        <v>1388</v>
      </c>
      <c r="E155">
        <v>2015</v>
      </c>
      <c r="F155" t="s">
        <v>901</v>
      </c>
      <c r="G155">
        <v>1</v>
      </c>
      <c r="H155" t="s">
        <v>97</v>
      </c>
      <c r="I155" t="str">
        <f>VLOOKUP($A155,'Type et couleur'!$B:$D,2,0)</f>
        <v>Abs</v>
      </c>
      <c r="J155" t="str">
        <f>VLOOKUP($A155,'Type et couleur'!$B:$D,3,0)</f>
        <v>Factor</v>
      </c>
    </row>
    <row r="156" spans="1:10" x14ac:dyDescent="0.25">
      <c r="A156" t="s">
        <v>1357</v>
      </c>
      <c r="B156" t="s">
        <v>1166</v>
      </c>
      <c r="C156" t="s">
        <v>919</v>
      </c>
      <c r="D156" t="s">
        <v>1223</v>
      </c>
      <c r="E156">
        <v>2015</v>
      </c>
      <c r="F156" t="s">
        <v>901</v>
      </c>
      <c r="G156">
        <v>1</v>
      </c>
      <c r="H156" t="s">
        <v>97</v>
      </c>
      <c r="I156" t="str">
        <f>VLOOKUP($A156,'Type et couleur'!$B:$D,2,0)</f>
        <v>Abs</v>
      </c>
      <c r="J156" t="str">
        <f>VLOOKUP($A156,'Type et couleur'!$B:$D,3,0)</f>
        <v>Factor</v>
      </c>
    </row>
    <row r="157" spans="1:10" x14ac:dyDescent="0.25">
      <c r="A157" t="s">
        <v>973</v>
      </c>
      <c r="B157" t="s">
        <v>973</v>
      </c>
      <c r="C157" t="s">
        <v>919</v>
      </c>
      <c r="D157" t="s">
        <v>1264</v>
      </c>
      <c r="E157">
        <v>2015</v>
      </c>
      <c r="F157" t="s">
        <v>901</v>
      </c>
      <c r="G157">
        <v>1</v>
      </c>
      <c r="H157" t="s">
        <v>97</v>
      </c>
      <c r="I157" t="str">
        <f>VLOOKUP($A157,'Type et couleur'!$B:$D,2,0)</f>
        <v>Abs</v>
      </c>
      <c r="J157" t="str">
        <f>VLOOKUP($A157,'Type et couleur'!$B:$D,3,0)</f>
        <v>Factor</v>
      </c>
    </row>
    <row r="158" spans="1:10" x14ac:dyDescent="0.25">
      <c r="A158" t="s">
        <v>1358</v>
      </c>
      <c r="B158" t="s">
        <v>1754</v>
      </c>
      <c r="C158" t="s">
        <v>919</v>
      </c>
      <c r="D158" t="s">
        <v>1223</v>
      </c>
      <c r="E158">
        <v>2015</v>
      </c>
      <c r="F158" t="s">
        <v>901</v>
      </c>
      <c r="G158">
        <v>1</v>
      </c>
      <c r="H158" t="s">
        <v>97</v>
      </c>
      <c r="I158" t="str">
        <f>VLOOKUP($A158,'Type et couleur'!$B:$D,2,0)</f>
        <v>Abs</v>
      </c>
      <c r="J158" t="str">
        <f>VLOOKUP($A158,'Type et couleur'!$B:$D,3,0)</f>
        <v>Factor</v>
      </c>
    </row>
    <row r="159" spans="1:10" x14ac:dyDescent="0.25">
      <c r="A159" t="s">
        <v>1364</v>
      </c>
      <c r="B159" t="s">
        <v>1646</v>
      </c>
      <c r="C159" t="s">
        <v>1236</v>
      </c>
      <c r="D159" t="s">
        <v>1651</v>
      </c>
      <c r="E159">
        <v>2015</v>
      </c>
      <c r="F159" t="s">
        <v>901</v>
      </c>
      <c r="G159">
        <v>1</v>
      </c>
      <c r="H159" t="s">
        <v>97</v>
      </c>
      <c r="I159" t="str">
        <f>VLOOKUP($A159,'Type et couleur'!$B:$D,2,0)</f>
        <v>Abs</v>
      </c>
      <c r="J159" t="str">
        <f>VLOOKUP($A159,'Type et couleur'!$B:$D,3,0)</f>
        <v>Factor</v>
      </c>
    </row>
    <row r="160" spans="1:10" x14ac:dyDescent="0.25">
      <c r="A160" t="s">
        <v>1365</v>
      </c>
      <c r="B160" t="s">
        <v>1647</v>
      </c>
      <c r="C160" t="s">
        <v>1236</v>
      </c>
      <c r="D160" t="s">
        <v>1651</v>
      </c>
      <c r="E160">
        <v>2015</v>
      </c>
      <c r="F160" t="s">
        <v>901</v>
      </c>
      <c r="G160">
        <v>1</v>
      </c>
      <c r="H160" t="s">
        <v>97</v>
      </c>
      <c r="I160" t="str">
        <f>VLOOKUP($A160,'Type et couleur'!$B:$D,2,0)</f>
        <v>Abs</v>
      </c>
      <c r="J160" t="str">
        <f>VLOOKUP($A160,'Type et couleur'!$B:$D,3,0)</f>
        <v>Factor</v>
      </c>
    </row>
    <row r="161" spans="1:10" x14ac:dyDescent="0.25">
      <c r="A161" t="s">
        <v>434</v>
      </c>
      <c r="B161" t="s">
        <v>434</v>
      </c>
      <c r="C161" t="s">
        <v>919</v>
      </c>
      <c r="D161" t="s">
        <v>1223</v>
      </c>
      <c r="E161">
        <v>2015</v>
      </c>
      <c r="F161" t="s">
        <v>901</v>
      </c>
      <c r="G161">
        <v>1</v>
      </c>
      <c r="H161" t="s">
        <v>97</v>
      </c>
      <c r="I161" t="str">
        <f>VLOOKUP($A161,'Type et couleur'!$B:$D,2,0)</f>
        <v>Abs</v>
      </c>
      <c r="J161" t="str">
        <f>VLOOKUP($A161,'Type et couleur'!$B:$D,3,0)</f>
        <v>Factor</v>
      </c>
    </row>
    <row r="162" spans="1:10" x14ac:dyDescent="0.25">
      <c r="A162" t="s">
        <v>986</v>
      </c>
      <c r="B162" t="s">
        <v>1648</v>
      </c>
      <c r="C162" t="s">
        <v>919</v>
      </c>
      <c r="D162" t="s">
        <v>920</v>
      </c>
      <c r="E162">
        <v>2015</v>
      </c>
      <c r="F162" t="s">
        <v>901</v>
      </c>
      <c r="G162">
        <v>1</v>
      </c>
      <c r="H162" t="s">
        <v>97</v>
      </c>
      <c r="I162" t="str">
        <f>VLOOKUP($A162,'Type et couleur'!$B:$D,2,0)</f>
        <v>Abs</v>
      </c>
      <c r="J162" t="str">
        <f>VLOOKUP($A162,'Type et couleur'!$B:$D,3,0)</f>
        <v>Factor</v>
      </c>
    </row>
    <row r="163" spans="1:10" x14ac:dyDescent="0.25">
      <c r="A163" t="s">
        <v>1366</v>
      </c>
      <c r="B163" t="s">
        <v>1266</v>
      </c>
      <c r="C163" t="s">
        <v>919</v>
      </c>
      <c r="D163" t="s">
        <v>1265</v>
      </c>
      <c r="E163">
        <v>2015</v>
      </c>
      <c r="F163" t="s">
        <v>901</v>
      </c>
      <c r="G163">
        <v>1</v>
      </c>
      <c r="H163" t="s">
        <v>97</v>
      </c>
      <c r="I163" t="str">
        <f>VLOOKUP($A163,'Type et couleur'!$B:$D,2,0)</f>
        <v>Abs</v>
      </c>
      <c r="J163" t="str">
        <f>VLOOKUP($A163,'Type et couleur'!$B:$D,3,0)</f>
        <v>Factor</v>
      </c>
    </row>
    <row r="164" spans="1:10" x14ac:dyDescent="0.25">
      <c r="A164" t="s">
        <v>987</v>
      </c>
      <c r="B164" t="s">
        <v>987</v>
      </c>
      <c r="C164" t="s">
        <v>919</v>
      </c>
      <c r="D164" t="s">
        <v>1610</v>
      </c>
      <c r="E164">
        <v>2015</v>
      </c>
      <c r="F164" t="s">
        <v>901</v>
      </c>
      <c r="G164">
        <v>1</v>
      </c>
      <c r="H164" t="s">
        <v>97</v>
      </c>
      <c r="I164" t="str">
        <f>VLOOKUP($A164,'Type et couleur'!$B:$D,2,0)</f>
        <v>Abs</v>
      </c>
      <c r="J164" t="str">
        <f>VLOOKUP($A164,'Type et couleur'!$B:$D,3,0)</f>
        <v>Factor</v>
      </c>
    </row>
    <row r="165" spans="1:10" x14ac:dyDescent="0.25">
      <c r="A165" t="s">
        <v>988</v>
      </c>
      <c r="B165" t="s">
        <v>1175</v>
      </c>
      <c r="C165" t="s">
        <v>919</v>
      </c>
      <c r="D165" t="s">
        <v>1265</v>
      </c>
      <c r="E165">
        <v>2015</v>
      </c>
      <c r="F165" t="s">
        <v>901</v>
      </c>
      <c r="G165">
        <v>1</v>
      </c>
      <c r="H165" t="s">
        <v>97</v>
      </c>
      <c r="I165" t="str">
        <f>VLOOKUP($A165,'Type et couleur'!$B:$D,2,0)</f>
        <v>Abs</v>
      </c>
      <c r="J165" t="str">
        <f>VLOOKUP($A165,'Type et couleur'!$B:$D,3,0)</f>
        <v>Factor</v>
      </c>
    </row>
    <row r="166" spans="1:10" x14ac:dyDescent="0.25">
      <c r="A166" t="s">
        <v>1130</v>
      </c>
      <c r="B166" t="s">
        <v>1755</v>
      </c>
      <c r="C166" t="s">
        <v>919</v>
      </c>
      <c r="D166" t="s">
        <v>1610</v>
      </c>
      <c r="E166">
        <v>2015</v>
      </c>
      <c r="F166" t="s">
        <v>901</v>
      </c>
      <c r="G166">
        <v>1</v>
      </c>
      <c r="H166" t="s">
        <v>97</v>
      </c>
      <c r="I166" t="str">
        <f>VLOOKUP($A166,'Type et couleur'!$B:$D,2,0)</f>
        <v>Abs</v>
      </c>
      <c r="J166" t="str">
        <f>VLOOKUP($A166,'Type et couleur'!$B:$D,3,0)</f>
        <v>Factor</v>
      </c>
    </row>
    <row r="167" spans="1:10" x14ac:dyDescent="0.25">
      <c r="A167" t="s">
        <v>1367</v>
      </c>
      <c r="B167" t="s">
        <v>1416</v>
      </c>
      <c r="C167" t="s">
        <v>919</v>
      </c>
      <c r="D167" t="s">
        <v>1388</v>
      </c>
      <c r="E167">
        <v>2015</v>
      </c>
      <c r="F167" t="s">
        <v>901</v>
      </c>
      <c r="G167">
        <v>1</v>
      </c>
      <c r="H167" t="s">
        <v>97</v>
      </c>
      <c r="I167" t="str">
        <f>VLOOKUP($A167,'Type et couleur'!$B:$D,2,0)</f>
        <v>Abs</v>
      </c>
      <c r="J167" t="str">
        <f>VLOOKUP($A167,'Type et couleur'!$B:$D,3,0)</f>
        <v>Factor</v>
      </c>
    </row>
    <row r="168" spans="1:10" x14ac:dyDescent="0.25">
      <c r="A168" t="s">
        <v>1131</v>
      </c>
      <c r="B168" t="s">
        <v>1415</v>
      </c>
      <c r="C168" t="s">
        <v>919</v>
      </c>
      <c r="D168" t="s">
        <v>1388</v>
      </c>
      <c r="E168">
        <v>2015</v>
      </c>
      <c r="F168" t="s">
        <v>901</v>
      </c>
      <c r="G168">
        <v>1</v>
      </c>
      <c r="H168" t="s">
        <v>97</v>
      </c>
      <c r="I168" t="str">
        <f>VLOOKUP($A168,'Type et couleur'!$B:$D,2,0)</f>
        <v>Abs</v>
      </c>
      <c r="J168" t="str">
        <f>VLOOKUP($A168,'Type et couleur'!$B:$D,3,0)</f>
        <v>Factor</v>
      </c>
    </row>
    <row r="169" spans="1:10" x14ac:dyDescent="0.25">
      <c r="A169" t="s">
        <v>995</v>
      </c>
      <c r="B169" t="s">
        <v>1242</v>
      </c>
      <c r="C169" t="s">
        <v>919</v>
      </c>
      <c r="D169" t="s">
        <v>1610</v>
      </c>
      <c r="E169">
        <v>2015</v>
      </c>
      <c r="F169" t="s">
        <v>901</v>
      </c>
      <c r="G169">
        <v>1</v>
      </c>
      <c r="H169" t="s">
        <v>97</v>
      </c>
      <c r="I169" t="str">
        <f>VLOOKUP($A169,'Type et couleur'!$B:$D,2,0)</f>
        <v>Abs</v>
      </c>
      <c r="J169" t="str">
        <f>VLOOKUP($A169,'Type et couleur'!$B:$D,3,0)</f>
        <v>Factor</v>
      </c>
    </row>
    <row r="170" spans="1:10" x14ac:dyDescent="0.25">
      <c r="A170" t="s">
        <v>996</v>
      </c>
      <c r="B170" t="s">
        <v>1412</v>
      </c>
      <c r="C170" t="s">
        <v>919</v>
      </c>
      <c r="D170" t="s">
        <v>1610</v>
      </c>
      <c r="E170">
        <v>2015</v>
      </c>
      <c r="F170" t="s">
        <v>901</v>
      </c>
      <c r="G170">
        <v>1</v>
      </c>
      <c r="H170" t="s">
        <v>97</v>
      </c>
      <c r="I170" t="str">
        <f>VLOOKUP($A170,'Type et couleur'!$B:$D,2,0)</f>
        <v>Abs</v>
      </c>
      <c r="J170" t="str">
        <f>VLOOKUP($A170,'Type et couleur'!$B:$D,3,0)</f>
        <v>Factor</v>
      </c>
    </row>
    <row r="171" spans="1:10" x14ac:dyDescent="0.25">
      <c r="A171" t="s">
        <v>997</v>
      </c>
      <c r="B171" t="s">
        <v>1411</v>
      </c>
      <c r="C171" t="s">
        <v>919</v>
      </c>
      <c r="D171" t="s">
        <v>1239</v>
      </c>
      <c r="E171">
        <v>2015</v>
      </c>
      <c r="F171" t="s">
        <v>901</v>
      </c>
      <c r="G171">
        <v>1</v>
      </c>
      <c r="H171" t="s">
        <v>97</v>
      </c>
      <c r="I171" t="str">
        <f>VLOOKUP($A171,'Type et couleur'!$B:$D,2,0)</f>
        <v>Abs</v>
      </c>
      <c r="J171" t="str">
        <f>VLOOKUP($A171,'Type et couleur'!$B:$D,3,0)</f>
        <v>Factor</v>
      </c>
    </row>
    <row r="172" spans="1:10" x14ac:dyDescent="0.25">
      <c r="A172" t="s">
        <v>1369</v>
      </c>
      <c r="B172" t="s">
        <v>1228</v>
      </c>
      <c r="C172" t="s">
        <v>919</v>
      </c>
      <c r="D172" t="s">
        <v>1229</v>
      </c>
      <c r="E172">
        <v>2015</v>
      </c>
      <c r="F172" t="s">
        <v>901</v>
      </c>
      <c r="G172">
        <v>1</v>
      </c>
      <c r="H172" t="s">
        <v>97</v>
      </c>
      <c r="I172" t="str">
        <f>VLOOKUP($A172,'Type et couleur'!$B:$D,2,0)</f>
        <v>Abs</v>
      </c>
      <c r="J172" t="str">
        <f>VLOOKUP($A172,'Type et couleur'!$B:$D,3,0)</f>
        <v>Factor</v>
      </c>
    </row>
    <row r="173" spans="1:10" x14ac:dyDescent="0.25">
      <c r="A173" t="s">
        <v>998</v>
      </c>
      <c r="B173" t="s">
        <v>1182</v>
      </c>
      <c r="C173" t="s">
        <v>919</v>
      </c>
      <c r="D173" t="s">
        <v>1229</v>
      </c>
      <c r="E173">
        <v>2015</v>
      </c>
      <c r="F173" t="s">
        <v>901</v>
      </c>
      <c r="G173">
        <v>1</v>
      </c>
      <c r="H173" t="s">
        <v>97</v>
      </c>
      <c r="I173" t="str">
        <f>VLOOKUP($A173,'Type et couleur'!$B:$D,2,0)</f>
        <v>Abs</v>
      </c>
      <c r="J173" t="str">
        <f>VLOOKUP($A173,'Type et couleur'!$B:$D,3,0)</f>
        <v>Factor</v>
      </c>
    </row>
    <row r="174" spans="1:10" x14ac:dyDescent="0.25">
      <c r="A174" t="s">
        <v>436</v>
      </c>
      <c r="B174" t="s">
        <v>1413</v>
      </c>
      <c r="C174" t="s">
        <v>919</v>
      </c>
      <c r="D174" t="s">
        <v>1264</v>
      </c>
      <c r="E174">
        <v>2015</v>
      </c>
      <c r="F174" t="s">
        <v>901</v>
      </c>
      <c r="G174">
        <v>1</v>
      </c>
      <c r="H174" t="s">
        <v>97</v>
      </c>
      <c r="I174" t="str">
        <f>VLOOKUP($A174,'Type et couleur'!$B:$D,2,0)</f>
        <v>Abs</v>
      </c>
      <c r="J174" t="str">
        <f>VLOOKUP($A174,'Type et couleur'!$B:$D,3,0)</f>
        <v>Factor</v>
      </c>
    </row>
    <row r="175" spans="1:10" x14ac:dyDescent="0.25">
      <c r="A175" t="s">
        <v>15</v>
      </c>
      <c r="B175" t="s">
        <v>1243</v>
      </c>
      <c r="C175" t="s">
        <v>919</v>
      </c>
      <c r="D175" t="s">
        <v>1610</v>
      </c>
      <c r="E175">
        <v>2015</v>
      </c>
      <c r="F175" t="s">
        <v>901</v>
      </c>
      <c r="G175">
        <v>1</v>
      </c>
      <c r="H175" t="s">
        <v>97</v>
      </c>
      <c r="I175" t="str">
        <f>VLOOKUP($A175,'Type et couleur'!$B:$D,2,0)</f>
        <v>Abs</v>
      </c>
      <c r="J175" t="str">
        <f>VLOOKUP($A175,'Type et couleur'!$B:$D,3,0)</f>
        <v>Factor</v>
      </c>
    </row>
    <row r="176" spans="1:10" x14ac:dyDescent="0.25">
      <c r="A176" t="s">
        <v>1372</v>
      </c>
      <c r="B176" t="s">
        <v>1437</v>
      </c>
      <c r="C176" t="s">
        <v>919</v>
      </c>
      <c r="D176" t="s">
        <v>1252</v>
      </c>
      <c r="E176">
        <v>2015</v>
      </c>
      <c r="F176" t="s">
        <v>901</v>
      </c>
      <c r="G176">
        <v>1</v>
      </c>
      <c r="H176" t="s">
        <v>97</v>
      </c>
      <c r="I176" t="str">
        <f>VLOOKUP($A176,'Type et couleur'!$B:$D,2,0)</f>
        <v>Abs</v>
      </c>
      <c r="J176" t="str">
        <f>VLOOKUP($A176,'Type et couleur'!$B:$D,3,0)</f>
        <v>Factor</v>
      </c>
    </row>
    <row r="177" spans="1:10" x14ac:dyDescent="0.25">
      <c r="A177" t="s">
        <v>16</v>
      </c>
      <c r="B177" t="s">
        <v>16</v>
      </c>
      <c r="C177" t="s">
        <v>919</v>
      </c>
      <c r="D177" t="s">
        <v>1610</v>
      </c>
      <c r="E177">
        <v>2015</v>
      </c>
      <c r="F177" t="s">
        <v>901</v>
      </c>
      <c r="G177">
        <v>1</v>
      </c>
      <c r="H177" t="s">
        <v>97</v>
      </c>
      <c r="I177" t="str">
        <f>VLOOKUP($A177,'Type et couleur'!$B:$D,2,0)</f>
        <v>Abs</v>
      </c>
      <c r="J177" t="str">
        <f>VLOOKUP($A177,'Type et couleur'!$B:$D,3,0)</f>
        <v>Factor</v>
      </c>
    </row>
    <row r="178" spans="1:10" x14ac:dyDescent="0.25">
      <c r="A178" t="s">
        <v>1002</v>
      </c>
      <c r="B178" t="s">
        <v>1184</v>
      </c>
      <c r="C178" t="s">
        <v>919</v>
      </c>
      <c r="D178" t="s">
        <v>1259</v>
      </c>
      <c r="E178">
        <v>2015</v>
      </c>
      <c r="F178" t="s">
        <v>901</v>
      </c>
      <c r="G178">
        <v>1</v>
      </c>
      <c r="H178" t="s">
        <v>97</v>
      </c>
      <c r="I178" t="str">
        <f>VLOOKUP($A178,'Type et couleur'!$B:$D,2,0)</f>
        <v>Abs</v>
      </c>
      <c r="J178" t="str">
        <f>VLOOKUP($A178,'Type et couleur'!$B:$D,3,0)</f>
        <v>Factor</v>
      </c>
    </row>
    <row r="179" spans="1:10" x14ac:dyDescent="0.25">
      <c r="A179" t="s">
        <v>1003</v>
      </c>
      <c r="B179" t="s">
        <v>1185</v>
      </c>
      <c r="C179" t="s">
        <v>919</v>
      </c>
      <c r="D179" t="s">
        <v>1229</v>
      </c>
      <c r="E179">
        <v>2015</v>
      </c>
      <c r="F179" t="s">
        <v>901</v>
      </c>
      <c r="G179">
        <v>1</v>
      </c>
      <c r="H179" t="s">
        <v>97</v>
      </c>
      <c r="I179" t="str">
        <f>VLOOKUP($A179,'Type et couleur'!$B:$D,2,0)</f>
        <v>Abs</v>
      </c>
      <c r="J179" t="str">
        <f>VLOOKUP($A179,'Type et couleur'!$B:$D,3,0)</f>
        <v>Factor</v>
      </c>
    </row>
    <row r="180" spans="1:10" x14ac:dyDescent="0.25">
      <c r="A180" t="s">
        <v>1375</v>
      </c>
      <c r="B180" t="s">
        <v>1220</v>
      </c>
      <c r="C180" t="s">
        <v>919</v>
      </c>
      <c r="D180" t="s">
        <v>1229</v>
      </c>
      <c r="E180">
        <v>2015</v>
      </c>
      <c r="F180" t="s">
        <v>901</v>
      </c>
      <c r="G180">
        <v>1</v>
      </c>
      <c r="H180" t="s">
        <v>97</v>
      </c>
      <c r="I180" t="str">
        <f>VLOOKUP($A180,'Type et couleur'!$B:$D,2,0)</f>
        <v>Abs</v>
      </c>
      <c r="J180" t="str">
        <f>VLOOKUP($A180,'Type et couleur'!$B:$D,3,0)</f>
        <v>Factor</v>
      </c>
    </row>
    <row r="181" spans="1:10" x14ac:dyDescent="0.25">
      <c r="A181" t="s">
        <v>437</v>
      </c>
      <c r="B181" t="s">
        <v>437</v>
      </c>
      <c r="C181" t="s">
        <v>919</v>
      </c>
      <c r="D181" t="s">
        <v>920</v>
      </c>
      <c r="E181">
        <v>2015</v>
      </c>
      <c r="F181" t="s">
        <v>901</v>
      </c>
      <c r="G181">
        <v>1</v>
      </c>
      <c r="H181" t="s">
        <v>97</v>
      </c>
      <c r="I181" t="str">
        <f>VLOOKUP($A181,'Type et couleur'!$B:$D,2,0)</f>
        <v>Abs</v>
      </c>
      <c r="J181" t="str">
        <f>VLOOKUP($A181,'Type et couleur'!$B:$D,3,0)</f>
        <v>Factor</v>
      </c>
    </row>
    <row r="182" spans="1:10" x14ac:dyDescent="0.25">
      <c r="A182" t="s">
        <v>438</v>
      </c>
      <c r="B182" t="s">
        <v>1577</v>
      </c>
      <c r="C182" t="s">
        <v>919</v>
      </c>
      <c r="D182" t="s">
        <v>1223</v>
      </c>
      <c r="E182">
        <v>2015</v>
      </c>
      <c r="F182" t="s">
        <v>901</v>
      </c>
      <c r="G182">
        <v>1</v>
      </c>
      <c r="H182" t="s">
        <v>97</v>
      </c>
      <c r="I182" t="str">
        <f>VLOOKUP($A182,'Type et couleur'!$B:$D,2,0)</f>
        <v>Abs</v>
      </c>
      <c r="J182" t="str">
        <f>VLOOKUP($A182,'Type et couleur'!$B:$D,3,0)</f>
        <v>Factor</v>
      </c>
    </row>
    <row r="183" spans="1:10" x14ac:dyDescent="0.25">
      <c r="A183" t="s">
        <v>1136</v>
      </c>
      <c r="B183" t="s">
        <v>1186</v>
      </c>
      <c r="C183" t="s">
        <v>1236</v>
      </c>
      <c r="D183" t="s">
        <v>1651</v>
      </c>
      <c r="E183">
        <v>2015</v>
      </c>
      <c r="F183" t="s">
        <v>901</v>
      </c>
      <c r="G183">
        <v>1</v>
      </c>
      <c r="H183" t="s">
        <v>97</v>
      </c>
      <c r="I183" t="str">
        <f>VLOOKUP($A183,'Type et couleur'!$B:$D,2,0)</f>
        <v>Abs</v>
      </c>
      <c r="J183" t="str">
        <f>VLOOKUP($A183,'Type et couleur'!$B:$D,3,0)</f>
        <v>Factor</v>
      </c>
    </row>
    <row r="184" spans="1:10" x14ac:dyDescent="0.25">
      <c r="A184" t="s">
        <v>1377</v>
      </c>
      <c r="B184" t="s">
        <v>1409</v>
      </c>
      <c r="C184" t="s">
        <v>919</v>
      </c>
      <c r="D184" t="s">
        <v>1224</v>
      </c>
      <c r="E184">
        <v>2015</v>
      </c>
      <c r="F184" t="s">
        <v>901</v>
      </c>
      <c r="G184">
        <v>1</v>
      </c>
      <c r="H184" t="s">
        <v>97</v>
      </c>
      <c r="I184" t="str">
        <f>VLOOKUP($A184,'Type et couleur'!$B:$D,2,0)</f>
        <v>Abs</v>
      </c>
      <c r="J184" t="str">
        <f>VLOOKUP($A184,'Type et couleur'!$B:$D,3,0)</f>
        <v>Factor</v>
      </c>
    </row>
    <row r="185" spans="1:10" x14ac:dyDescent="0.25">
      <c r="A185" t="s">
        <v>1380</v>
      </c>
      <c r="B185" t="s">
        <v>1194</v>
      </c>
      <c r="C185" t="s">
        <v>919</v>
      </c>
      <c r="D185" t="s">
        <v>1259</v>
      </c>
      <c r="E185">
        <v>2015</v>
      </c>
      <c r="F185" t="s">
        <v>901</v>
      </c>
      <c r="G185">
        <v>1</v>
      </c>
      <c r="H185" t="s">
        <v>97</v>
      </c>
      <c r="I185" t="str">
        <f>VLOOKUP($A185,'Type et couleur'!$B:$D,2,0)</f>
        <v>Abs</v>
      </c>
      <c r="J185" t="str">
        <f>VLOOKUP($A185,'Type et couleur'!$B:$D,3,0)</f>
        <v>Factor</v>
      </c>
    </row>
    <row r="186" spans="1:10" x14ac:dyDescent="0.25">
      <c r="A186" t="s">
        <v>1032</v>
      </c>
      <c r="B186" t="s">
        <v>1650</v>
      </c>
      <c r="C186" t="s">
        <v>1236</v>
      </c>
      <c r="D186" t="s">
        <v>1651</v>
      </c>
      <c r="E186">
        <v>2015</v>
      </c>
      <c r="F186" t="s">
        <v>901</v>
      </c>
      <c r="G186">
        <v>1</v>
      </c>
      <c r="H186" t="s">
        <v>97</v>
      </c>
      <c r="I186" t="str">
        <f>VLOOKUP($A186,'Type et couleur'!$B:$D,2,0)</f>
        <v>Abs</v>
      </c>
      <c r="J186" t="str">
        <f>VLOOKUP($A186,'Type et couleur'!$B:$D,3,0)</f>
        <v>Factor</v>
      </c>
    </row>
    <row r="187" spans="1:10" x14ac:dyDescent="0.25">
      <c r="A187" t="s">
        <v>1034</v>
      </c>
      <c r="B187" t="s">
        <v>1233</v>
      </c>
      <c r="C187" t="s">
        <v>919</v>
      </c>
      <c r="D187" t="s">
        <v>920</v>
      </c>
      <c r="E187">
        <v>2015</v>
      </c>
      <c r="F187" t="s">
        <v>901</v>
      </c>
      <c r="G187">
        <v>1</v>
      </c>
      <c r="H187" t="s">
        <v>97</v>
      </c>
      <c r="I187" t="str">
        <f>VLOOKUP($A187,'Type et couleur'!$B:$D,2,0)</f>
        <v>Abs</v>
      </c>
      <c r="J187" t="str">
        <f>VLOOKUP($A187,'Type et couleur'!$B:$D,3,0)</f>
        <v>Factor</v>
      </c>
    </row>
    <row r="188" spans="1:10" x14ac:dyDescent="0.25">
      <c r="A188" t="s">
        <v>1035</v>
      </c>
      <c r="B188" t="s">
        <v>1035</v>
      </c>
      <c r="C188" t="s">
        <v>1236</v>
      </c>
      <c r="D188" t="s">
        <v>1651</v>
      </c>
      <c r="E188">
        <v>2015</v>
      </c>
      <c r="F188" t="s">
        <v>901</v>
      </c>
      <c r="G188">
        <v>1</v>
      </c>
      <c r="H188" t="s">
        <v>97</v>
      </c>
      <c r="I188" t="str">
        <f>VLOOKUP($A188,'Type et couleur'!$B:$D,2,0)</f>
        <v>Abs</v>
      </c>
      <c r="J188" t="str">
        <f>VLOOKUP($A188,'Type et couleur'!$B:$D,3,0)</f>
        <v>Factor</v>
      </c>
    </row>
    <row r="189" spans="1:10" x14ac:dyDescent="0.25">
      <c r="A189" t="s">
        <v>1036</v>
      </c>
      <c r="B189" t="s">
        <v>1036</v>
      </c>
      <c r="C189" t="s">
        <v>919</v>
      </c>
      <c r="D189" t="s">
        <v>1259</v>
      </c>
      <c r="E189">
        <v>2015</v>
      </c>
      <c r="F189" t="s">
        <v>901</v>
      </c>
      <c r="G189">
        <v>1</v>
      </c>
      <c r="H189" t="s">
        <v>97</v>
      </c>
      <c r="I189" t="str">
        <f>VLOOKUP($A189,'Type et couleur'!$B:$D,2,0)</f>
        <v>Abs</v>
      </c>
      <c r="J189" t="str">
        <f>VLOOKUP($A189,'Type et couleur'!$B:$D,3,0)</f>
        <v>Factor</v>
      </c>
    </row>
    <row r="190" spans="1:10" x14ac:dyDescent="0.25">
      <c r="A190" t="s">
        <v>1038</v>
      </c>
      <c r="B190" t="s">
        <v>1202</v>
      </c>
      <c r="C190" t="s">
        <v>919</v>
      </c>
      <c r="D190" t="s">
        <v>1259</v>
      </c>
      <c r="E190">
        <v>2015</v>
      </c>
      <c r="F190" t="s">
        <v>901</v>
      </c>
      <c r="G190">
        <v>1</v>
      </c>
      <c r="H190" t="s">
        <v>97</v>
      </c>
      <c r="I190" t="str">
        <f>VLOOKUP($A190,'Type et couleur'!$B:$D,2,0)</f>
        <v>Abs</v>
      </c>
      <c r="J190" t="str">
        <f>VLOOKUP($A190,'Type et couleur'!$B:$D,3,0)</f>
        <v>Factor</v>
      </c>
    </row>
    <row r="191" spans="1:10" x14ac:dyDescent="0.25">
      <c r="A191" t="s">
        <v>1381</v>
      </c>
      <c r="B191" t="s">
        <v>1221</v>
      </c>
      <c r="C191" t="s">
        <v>919</v>
      </c>
      <c r="D191" t="s">
        <v>1264</v>
      </c>
      <c r="E191">
        <v>2015</v>
      </c>
      <c r="F191" t="s">
        <v>901</v>
      </c>
      <c r="G191">
        <v>1</v>
      </c>
      <c r="H191" t="s">
        <v>97</v>
      </c>
      <c r="I191" t="str">
        <f>VLOOKUP($A191,'Type et couleur'!$B:$D,2,0)</f>
        <v>Abs</v>
      </c>
      <c r="J191" t="str">
        <f>VLOOKUP($A191,'Type et couleur'!$B:$D,3,0)</f>
        <v>Factor</v>
      </c>
    </row>
    <row r="192" spans="1:10" x14ac:dyDescent="0.25">
      <c r="A192" t="s">
        <v>1041</v>
      </c>
      <c r="B192" t="s">
        <v>1041</v>
      </c>
      <c r="C192" t="s">
        <v>919</v>
      </c>
      <c r="D192" t="s">
        <v>1388</v>
      </c>
      <c r="E192">
        <v>2015</v>
      </c>
      <c r="F192" t="s">
        <v>901</v>
      </c>
      <c r="G192">
        <v>1</v>
      </c>
      <c r="H192" t="s">
        <v>97</v>
      </c>
      <c r="I192" t="str">
        <f>VLOOKUP($A192,'Type et couleur'!$B:$D,2,0)</f>
        <v>Abs</v>
      </c>
      <c r="J192" t="str">
        <f>VLOOKUP($A192,'Type et couleur'!$B:$D,3,0)</f>
        <v>Factor</v>
      </c>
    </row>
    <row r="193" spans="1:10" x14ac:dyDescent="0.25">
      <c r="A193" t="s">
        <v>1042</v>
      </c>
      <c r="B193" t="s">
        <v>1042</v>
      </c>
      <c r="C193" t="s">
        <v>919</v>
      </c>
      <c r="D193" t="s">
        <v>1239</v>
      </c>
      <c r="E193">
        <v>2015</v>
      </c>
      <c r="F193" t="s">
        <v>901</v>
      </c>
      <c r="G193">
        <v>1</v>
      </c>
      <c r="H193" t="s">
        <v>97</v>
      </c>
      <c r="I193" t="str">
        <f>VLOOKUP($A193,'Type et couleur'!$B:$D,2,0)</f>
        <v>Abs</v>
      </c>
      <c r="J193" t="str">
        <f>VLOOKUP($A193,'Type et couleur'!$B:$D,3,0)</f>
        <v>Factor</v>
      </c>
    </row>
    <row r="194" spans="1:10" x14ac:dyDescent="0.25">
      <c r="A194" t="s">
        <v>14</v>
      </c>
      <c r="B194" t="s">
        <v>1208</v>
      </c>
      <c r="C194" t="s">
        <v>919</v>
      </c>
      <c r="D194" t="s">
        <v>1388</v>
      </c>
      <c r="E194">
        <v>2015</v>
      </c>
      <c r="F194" t="s">
        <v>901</v>
      </c>
      <c r="G194">
        <v>1</v>
      </c>
      <c r="H194" t="s">
        <v>97</v>
      </c>
      <c r="I194" t="str">
        <f>VLOOKUP($A194,'Type et couleur'!$B:$D,2,0)</f>
        <v>Abs</v>
      </c>
      <c r="J194" t="str">
        <f>VLOOKUP($A194,'Type et couleur'!$B:$D,3,0)</f>
        <v>Factor</v>
      </c>
    </row>
    <row r="195" spans="1:10" x14ac:dyDescent="0.25">
      <c r="A195" t="s">
        <v>13</v>
      </c>
      <c r="B195" t="s">
        <v>1439</v>
      </c>
      <c r="C195" t="s">
        <v>919</v>
      </c>
      <c r="D195" t="s">
        <v>1388</v>
      </c>
      <c r="E195">
        <v>2015</v>
      </c>
      <c r="F195" t="s">
        <v>901</v>
      </c>
      <c r="G195">
        <v>1</v>
      </c>
      <c r="H195" t="s">
        <v>97</v>
      </c>
      <c r="I195" t="str">
        <f>VLOOKUP($A195,'Type et couleur'!$B:$D,2,0)</f>
        <v>Abs</v>
      </c>
      <c r="J195" t="str">
        <f>VLOOKUP($A195,'Type et couleur'!$B:$D,3,0)</f>
        <v>Factor</v>
      </c>
    </row>
    <row r="196" spans="1:10" x14ac:dyDescent="0.25">
      <c r="A196" t="s">
        <v>1209</v>
      </c>
      <c r="B196" t="s">
        <v>1209</v>
      </c>
      <c r="C196" t="s">
        <v>919</v>
      </c>
      <c r="D196" t="s">
        <v>1229</v>
      </c>
      <c r="E196">
        <v>2015</v>
      </c>
      <c r="F196" t="s">
        <v>901</v>
      </c>
      <c r="G196">
        <v>1</v>
      </c>
      <c r="H196" t="s">
        <v>97</v>
      </c>
      <c r="I196" t="str">
        <f>VLOOKUP($A196,'Type et couleur'!$B:$D,2,0)</f>
        <v>Abs</v>
      </c>
      <c r="J196" t="str">
        <f>VLOOKUP($A196,'Type et couleur'!$B:$D,3,0)</f>
        <v>Factor</v>
      </c>
    </row>
    <row r="197" spans="1:10" x14ac:dyDescent="0.25">
      <c r="A197" t="s">
        <v>433</v>
      </c>
      <c r="B197" t="s">
        <v>433</v>
      </c>
      <c r="C197" t="s">
        <v>919</v>
      </c>
      <c r="D197" t="s">
        <v>920</v>
      </c>
      <c r="E197">
        <v>2015</v>
      </c>
      <c r="F197" t="s">
        <v>901</v>
      </c>
      <c r="G197">
        <v>1</v>
      </c>
      <c r="H197" t="s">
        <v>97</v>
      </c>
      <c r="I197" t="str">
        <f>VLOOKUP($A197,'Type et couleur'!$B:$D,2,0)</f>
        <v>Abs</v>
      </c>
      <c r="J197" t="str">
        <f>VLOOKUP($A197,'Type et couleur'!$B:$D,3,0)</f>
        <v>Factor</v>
      </c>
    </row>
    <row r="198" spans="1:10" x14ac:dyDescent="0.25">
      <c r="A198" t="s">
        <v>1214</v>
      </c>
      <c r="B198" t="s">
        <v>1279</v>
      </c>
      <c r="C198" t="s">
        <v>919</v>
      </c>
      <c r="D198" t="s">
        <v>1239</v>
      </c>
      <c r="E198">
        <v>2015</v>
      </c>
      <c r="F198" t="s">
        <v>901</v>
      </c>
      <c r="G198">
        <v>1</v>
      </c>
      <c r="H198" t="s">
        <v>97</v>
      </c>
      <c r="I198" t="str">
        <f>VLOOKUP($A198,'Type et couleur'!$B:$D,2,0)</f>
        <v>Abs</v>
      </c>
      <c r="J198" t="str">
        <f>VLOOKUP($A198,'Type et couleur'!$B:$D,3,0)</f>
        <v>Factor</v>
      </c>
    </row>
    <row r="199" spans="1:10" x14ac:dyDescent="0.25">
      <c r="A199" t="s">
        <v>1215</v>
      </c>
      <c r="B199" t="s">
        <v>1280</v>
      </c>
      <c r="C199" t="s">
        <v>919</v>
      </c>
      <c r="D199" t="s">
        <v>1239</v>
      </c>
      <c r="E199">
        <v>2015</v>
      </c>
      <c r="F199" t="s">
        <v>901</v>
      </c>
      <c r="G199">
        <v>1</v>
      </c>
      <c r="H199" t="s">
        <v>97</v>
      </c>
      <c r="I199" t="str">
        <f>VLOOKUP($A199,'Type et couleur'!$B:$D,2,0)</f>
        <v>Abs</v>
      </c>
      <c r="J199" t="str">
        <f>VLOOKUP($A199,'Type et couleur'!$B:$D,3,0)</f>
        <v>Factor</v>
      </c>
    </row>
    <row r="200" spans="1:10" x14ac:dyDescent="0.25">
      <c r="A200" t="s">
        <v>1216</v>
      </c>
      <c r="B200" t="s">
        <v>1281</v>
      </c>
      <c r="C200" t="s">
        <v>919</v>
      </c>
      <c r="D200" t="s">
        <v>1239</v>
      </c>
      <c r="E200">
        <v>2015</v>
      </c>
      <c r="F200" t="s">
        <v>901</v>
      </c>
      <c r="G200">
        <v>1</v>
      </c>
      <c r="H200" t="s">
        <v>97</v>
      </c>
      <c r="I200" t="str">
        <f>VLOOKUP($A200,'Type et couleur'!$B:$D,2,0)</f>
        <v>Abs</v>
      </c>
      <c r="J200" t="str">
        <f>VLOOKUP($A200,'Type et couleur'!$B:$D,3,0)</f>
        <v>Factor</v>
      </c>
    </row>
    <row r="201" spans="1:10" x14ac:dyDescent="0.25">
      <c r="A201" t="s">
        <v>1587</v>
      </c>
      <c r="B201" t="s">
        <v>1597</v>
      </c>
      <c r="C201" t="s">
        <v>919</v>
      </c>
      <c r="D201" t="s">
        <v>1621</v>
      </c>
      <c r="E201">
        <v>2013</v>
      </c>
      <c r="F201" t="s">
        <v>1609</v>
      </c>
      <c r="G201">
        <v>1</v>
      </c>
      <c r="H201" t="s">
        <v>1515</v>
      </c>
      <c r="I201" t="str">
        <f>VLOOKUP($A201,'Type et couleur'!$B:$D,2,0)</f>
        <v>Abs</v>
      </c>
      <c r="J201" t="str">
        <f>VLOOKUP($A201,'Type et couleur'!$B:$D,3,0)</f>
        <v>Clair_Fonce</v>
      </c>
    </row>
    <row r="202" spans="1:10" x14ac:dyDescent="0.25">
      <c r="A202" t="s">
        <v>1588</v>
      </c>
      <c r="B202" t="s">
        <v>1598</v>
      </c>
      <c r="C202" t="s">
        <v>919</v>
      </c>
      <c r="D202" t="s">
        <v>1621</v>
      </c>
      <c r="E202">
        <v>2013</v>
      </c>
      <c r="F202" t="s">
        <v>1609</v>
      </c>
      <c r="G202">
        <v>1</v>
      </c>
      <c r="H202" t="s">
        <v>1515</v>
      </c>
      <c r="I202" t="str">
        <f>VLOOKUP($A202,'Type et couleur'!$B:$D,2,0)</f>
        <v>Abs</v>
      </c>
      <c r="J202" t="str">
        <f>VLOOKUP($A202,'Type et couleur'!$B:$D,3,0)</f>
        <v>Clair_Fonce</v>
      </c>
    </row>
    <row r="203" spans="1:10" x14ac:dyDescent="0.25">
      <c r="A203" t="s">
        <v>1589</v>
      </c>
      <c r="B203" t="s">
        <v>1599</v>
      </c>
      <c r="C203" t="s">
        <v>919</v>
      </c>
      <c r="D203" t="s">
        <v>1621</v>
      </c>
      <c r="E203">
        <v>2013</v>
      </c>
      <c r="F203" t="s">
        <v>1609</v>
      </c>
      <c r="G203">
        <v>1</v>
      </c>
      <c r="H203" t="s">
        <v>1515</v>
      </c>
      <c r="I203" t="str">
        <f>VLOOKUP($A203,'Type et couleur'!$B:$D,2,0)</f>
        <v>Abs</v>
      </c>
      <c r="J203" t="str">
        <f>VLOOKUP($A203,'Type et couleur'!$B:$D,3,0)</f>
        <v>Clair_Fonce</v>
      </c>
    </row>
    <row r="204" spans="1:10" x14ac:dyDescent="0.25">
      <c r="A204" t="s">
        <v>1590</v>
      </c>
      <c r="B204" t="s">
        <v>1600</v>
      </c>
      <c r="C204" t="s">
        <v>919</v>
      </c>
      <c r="D204" t="s">
        <v>1621</v>
      </c>
      <c r="E204">
        <v>2013</v>
      </c>
      <c r="F204" t="s">
        <v>1609</v>
      </c>
      <c r="G204">
        <v>1</v>
      </c>
      <c r="H204" t="s">
        <v>1515</v>
      </c>
      <c r="I204" t="str">
        <f>VLOOKUP($A204,'Type et couleur'!$B:$D,2,0)</f>
        <v>Abs</v>
      </c>
      <c r="J204" t="str">
        <f>VLOOKUP($A204,'Type et couleur'!$B:$D,3,0)</f>
        <v>Clair_Fonce</v>
      </c>
    </row>
    <row r="205" spans="1:10" x14ac:dyDescent="0.25">
      <c r="A205" t="s">
        <v>1591</v>
      </c>
      <c r="B205" t="s">
        <v>1601</v>
      </c>
      <c r="C205" t="s">
        <v>919</v>
      </c>
      <c r="D205" t="s">
        <v>1621</v>
      </c>
      <c r="E205">
        <v>2013</v>
      </c>
      <c r="F205" t="s">
        <v>1609</v>
      </c>
      <c r="G205">
        <v>1</v>
      </c>
      <c r="H205" t="s">
        <v>1515</v>
      </c>
      <c r="I205" t="str">
        <f>VLOOKUP($A205,'Type et couleur'!$B:$D,2,0)</f>
        <v>Abs</v>
      </c>
      <c r="J205" t="str">
        <f>VLOOKUP($A205,'Type et couleur'!$B:$D,3,0)</f>
        <v>Clair_Fonce</v>
      </c>
    </row>
    <row r="206" spans="1:10" x14ac:dyDescent="0.25">
      <c r="A206" t="s">
        <v>1592</v>
      </c>
      <c r="B206" t="s">
        <v>1602</v>
      </c>
      <c r="C206" t="s">
        <v>919</v>
      </c>
      <c r="D206" t="s">
        <v>1621</v>
      </c>
      <c r="E206">
        <v>2013</v>
      </c>
      <c r="F206" t="s">
        <v>1609</v>
      </c>
      <c r="G206">
        <v>1</v>
      </c>
      <c r="H206" t="s">
        <v>1515</v>
      </c>
      <c r="I206" t="str">
        <f>VLOOKUP($A206,'Type et couleur'!$B:$D,2,0)</f>
        <v>Abs</v>
      </c>
      <c r="J206" t="str">
        <f>VLOOKUP($A206,'Type et couleur'!$B:$D,3,0)</f>
        <v>Clair_Fonce</v>
      </c>
    </row>
    <row r="207" spans="1:10" x14ac:dyDescent="0.25">
      <c r="A207" t="s">
        <v>1593</v>
      </c>
      <c r="B207" t="s">
        <v>1604</v>
      </c>
      <c r="C207" t="s">
        <v>919</v>
      </c>
      <c r="D207" t="s">
        <v>1621</v>
      </c>
      <c r="E207">
        <v>2013</v>
      </c>
      <c r="F207" t="s">
        <v>1609</v>
      </c>
      <c r="G207">
        <v>1</v>
      </c>
      <c r="H207" t="s">
        <v>1515</v>
      </c>
      <c r="I207" t="str">
        <f>VLOOKUP($A207,'Type et couleur'!$B:$D,2,0)</f>
        <v>Abs</v>
      </c>
      <c r="J207" t="str">
        <f>VLOOKUP($A207,'Type et couleur'!$B:$D,3,0)</f>
        <v>Clair_Fonce</v>
      </c>
    </row>
    <row r="208" spans="1:10" x14ac:dyDescent="0.25">
      <c r="A208" t="s">
        <v>1594</v>
      </c>
      <c r="B208" t="s">
        <v>1605</v>
      </c>
      <c r="C208" t="s">
        <v>919</v>
      </c>
      <c r="D208" t="s">
        <v>1621</v>
      </c>
      <c r="E208">
        <v>2013</v>
      </c>
      <c r="F208" t="s">
        <v>1609</v>
      </c>
      <c r="G208">
        <v>1</v>
      </c>
      <c r="H208" t="s">
        <v>1515</v>
      </c>
      <c r="I208" t="str">
        <f>VLOOKUP($A208,'Type et couleur'!$B:$D,2,0)</f>
        <v>Abs</v>
      </c>
      <c r="J208" t="str">
        <f>VLOOKUP($A208,'Type et couleur'!$B:$D,3,0)</f>
        <v>Clair_Fonce</v>
      </c>
    </row>
    <row r="209" spans="1:10" x14ac:dyDescent="0.25">
      <c r="A209" t="s">
        <v>1595</v>
      </c>
      <c r="B209" t="s">
        <v>1606</v>
      </c>
      <c r="C209" t="s">
        <v>919</v>
      </c>
      <c r="D209" t="s">
        <v>1621</v>
      </c>
      <c r="E209">
        <v>2013</v>
      </c>
      <c r="F209" t="s">
        <v>1609</v>
      </c>
      <c r="G209">
        <v>1</v>
      </c>
      <c r="H209" t="s">
        <v>1515</v>
      </c>
      <c r="I209" t="str">
        <f>VLOOKUP($A209,'Type et couleur'!$B:$D,2,0)</f>
        <v>Abs</v>
      </c>
      <c r="J209" t="str">
        <f>VLOOKUP($A209,'Type et couleur'!$B:$D,3,0)</f>
        <v>Clair_Fonce</v>
      </c>
    </row>
    <row r="210" spans="1:10" x14ac:dyDescent="0.25">
      <c r="A210" t="s">
        <v>1603</v>
      </c>
      <c r="B210" t="s">
        <v>1607</v>
      </c>
      <c r="C210" t="s">
        <v>919</v>
      </c>
      <c r="D210" t="s">
        <v>1621</v>
      </c>
      <c r="E210">
        <v>2013</v>
      </c>
      <c r="F210" t="s">
        <v>1609</v>
      </c>
      <c r="G210">
        <v>1</v>
      </c>
      <c r="H210" t="s">
        <v>1515</v>
      </c>
      <c r="I210" t="str">
        <f>VLOOKUP($A210,'Type et couleur'!$B:$D,2,0)</f>
        <v>Abs</v>
      </c>
      <c r="J210" t="str">
        <f>VLOOKUP($A210,'Type et couleur'!$B:$D,3,0)</f>
        <v>Clair_Fonce</v>
      </c>
    </row>
    <row r="211" spans="1:10" x14ac:dyDescent="0.25">
      <c r="A211" t="s">
        <v>1596</v>
      </c>
      <c r="B211" t="s">
        <v>1608</v>
      </c>
      <c r="C211" t="s">
        <v>919</v>
      </c>
      <c r="D211" t="s">
        <v>1621</v>
      </c>
      <c r="E211">
        <v>2013</v>
      </c>
      <c r="F211" t="s">
        <v>1609</v>
      </c>
      <c r="G211">
        <v>1</v>
      </c>
      <c r="H211" t="s">
        <v>1515</v>
      </c>
      <c r="I211" t="str">
        <f>VLOOKUP($A211,'Type et couleur'!$B:$D,2,0)</f>
        <v>Abs</v>
      </c>
      <c r="J211" t="str">
        <f>VLOOKUP($A211,'Type et couleur'!$B:$D,3,0)</f>
        <v>Clair_Fonce</v>
      </c>
    </row>
    <row r="212" spans="1:10" x14ac:dyDescent="0.25">
      <c r="A212" t="s">
        <v>1710</v>
      </c>
      <c r="B212" t="s">
        <v>1654</v>
      </c>
      <c r="C212" t="s">
        <v>1236</v>
      </c>
      <c r="D212" t="s">
        <v>1709</v>
      </c>
      <c r="E212">
        <v>2017</v>
      </c>
      <c r="F212" t="s">
        <v>1638</v>
      </c>
      <c r="G212">
        <v>1</v>
      </c>
      <c r="H212" t="s">
        <v>1515</v>
      </c>
      <c r="I212" t="str">
        <f>VLOOKUP($A212,'Type et couleur'!$B:$D,2,0)</f>
        <v>Abs</v>
      </c>
      <c r="J212" t="str">
        <f>VLOOKUP($A212,'Type et couleur'!$B:$D,3,0)</f>
        <v>Clair_Fonce</v>
      </c>
    </row>
    <row r="213" spans="1:10" x14ac:dyDescent="0.25">
      <c r="A213" t="s">
        <v>1711</v>
      </c>
      <c r="B213" t="s">
        <v>1652</v>
      </c>
      <c r="C213" t="s">
        <v>1236</v>
      </c>
      <c r="D213" t="s">
        <v>1709</v>
      </c>
      <c r="E213">
        <v>2017</v>
      </c>
      <c r="F213" t="s">
        <v>1638</v>
      </c>
      <c r="G213">
        <v>1</v>
      </c>
      <c r="H213" t="s">
        <v>1515</v>
      </c>
      <c r="I213" t="str">
        <f>VLOOKUP($A213,'Type et couleur'!$B:$D,2,0)</f>
        <v>Abs</v>
      </c>
      <c r="J213" t="str">
        <f>VLOOKUP($A213,'Type et couleur'!$B:$D,3,0)</f>
        <v>Clair_Fonce</v>
      </c>
    </row>
    <row r="214" spans="1:10" x14ac:dyDescent="0.25">
      <c r="A214" t="s">
        <v>1712</v>
      </c>
      <c r="B214" t="s">
        <v>1653</v>
      </c>
      <c r="C214" t="s">
        <v>1236</v>
      </c>
      <c r="D214" t="s">
        <v>1709</v>
      </c>
      <c r="E214">
        <v>2017</v>
      </c>
      <c r="F214" t="s">
        <v>1638</v>
      </c>
      <c r="G214">
        <v>1</v>
      </c>
      <c r="H214" t="s">
        <v>1515</v>
      </c>
      <c r="I214" t="str">
        <f>VLOOKUP($A214,'Type et couleur'!$B:$D,2,0)</f>
        <v>Abs</v>
      </c>
      <c r="J214" t="str">
        <f>VLOOKUP($A214,'Type et couleur'!$B:$D,3,0)</f>
        <v>Clair_Fonce</v>
      </c>
    </row>
    <row r="215" spans="1:10" x14ac:dyDescent="0.25">
      <c r="A215" t="s">
        <v>1672</v>
      </c>
      <c r="B215" t="s">
        <v>1756</v>
      </c>
      <c r="C215" t="s">
        <v>918</v>
      </c>
      <c r="D215" t="s">
        <v>1440</v>
      </c>
      <c r="E215">
        <v>2012</v>
      </c>
      <c r="F215" t="s">
        <v>1689</v>
      </c>
      <c r="G215">
        <v>1</v>
      </c>
      <c r="H215" t="s">
        <v>1515</v>
      </c>
      <c r="I215" t="str">
        <f>VLOOKUP($A215,'Type et couleur'!$B:$D,2,0)</f>
        <v>Factor</v>
      </c>
      <c r="J215" t="str">
        <f>VLOOKUP($A215,'Type et couleur'!$B:$D,3,0)</f>
        <v>Factor</v>
      </c>
    </row>
    <row r="216" spans="1:10" x14ac:dyDescent="0.25">
      <c r="A216" t="s">
        <v>1681</v>
      </c>
      <c r="B216" t="s">
        <v>1687</v>
      </c>
      <c r="C216" t="s">
        <v>918</v>
      </c>
      <c r="D216" t="s">
        <v>1440</v>
      </c>
      <c r="E216" t="s">
        <v>1688</v>
      </c>
      <c r="F216" t="s">
        <v>1689</v>
      </c>
      <c r="G216">
        <v>1</v>
      </c>
      <c r="H216" t="s">
        <v>1515</v>
      </c>
      <c r="I216" t="str">
        <f>VLOOKUP($A216,'Type et couleur'!$B:$D,2,0)</f>
        <v>Factor</v>
      </c>
      <c r="J216" t="str">
        <f>VLOOKUP($A216,'Type et couleur'!$B:$D,3,0)</f>
        <v>Clair_Fonce</v>
      </c>
    </row>
    <row r="217" spans="1:10" x14ac:dyDescent="0.25">
      <c r="A217" t="s">
        <v>1682</v>
      </c>
      <c r="B217" t="s">
        <v>1686</v>
      </c>
      <c r="C217" t="s">
        <v>918</v>
      </c>
      <c r="D217" t="s">
        <v>1440</v>
      </c>
      <c r="E217" t="s">
        <v>1688</v>
      </c>
      <c r="F217" t="s">
        <v>1689</v>
      </c>
      <c r="G217">
        <v>1</v>
      </c>
      <c r="H217" t="s">
        <v>1515</v>
      </c>
      <c r="I217" t="str">
        <f>VLOOKUP($A217,'Type et couleur'!$B:$D,2,0)</f>
        <v>Factor</v>
      </c>
      <c r="J217" t="str">
        <f>VLOOKUP($A217,'Type et couleur'!$B:$D,3,0)</f>
        <v>Clair_Fonce</v>
      </c>
    </row>
    <row r="218" spans="1:10" x14ac:dyDescent="0.25">
      <c r="A218" t="s">
        <v>1673</v>
      </c>
      <c r="B218" t="s">
        <v>1684</v>
      </c>
      <c r="C218" t="s">
        <v>918</v>
      </c>
      <c r="D218" t="s">
        <v>1440</v>
      </c>
      <c r="E218" t="s">
        <v>1688</v>
      </c>
      <c r="F218" t="s">
        <v>1689</v>
      </c>
      <c r="G218">
        <v>1</v>
      </c>
      <c r="H218" t="s">
        <v>1515</v>
      </c>
      <c r="I218" t="str">
        <f>VLOOKUP($A218,'Type et couleur'!$B:$D,2,0)</f>
        <v>Factor</v>
      </c>
      <c r="J218" t="str">
        <f>VLOOKUP($A218,'Type et couleur'!$B:$D,3,0)</f>
        <v>Clair_Fonce</v>
      </c>
    </row>
    <row r="219" spans="1:10" x14ac:dyDescent="0.25">
      <c r="A219" t="s">
        <v>1674</v>
      </c>
      <c r="B219" t="s">
        <v>1685</v>
      </c>
      <c r="C219" t="s">
        <v>918</v>
      </c>
      <c r="D219" t="s">
        <v>1440</v>
      </c>
      <c r="E219" t="s">
        <v>1688</v>
      </c>
      <c r="F219" t="s">
        <v>1689</v>
      </c>
      <c r="G219">
        <v>1</v>
      </c>
      <c r="H219" t="s">
        <v>1515</v>
      </c>
      <c r="I219" t="str">
        <f>VLOOKUP($A219,'Type et couleur'!$B:$D,2,0)</f>
        <v>Factor</v>
      </c>
      <c r="J219" t="str">
        <f>VLOOKUP($A219,'Type et couleur'!$B:$D,3,0)</f>
        <v>Factor</v>
      </c>
    </row>
    <row r="220" spans="1:10" x14ac:dyDescent="0.25">
      <c r="A220" t="s">
        <v>1690</v>
      </c>
      <c r="B220" t="s">
        <v>1715</v>
      </c>
      <c r="C220" t="s">
        <v>1401</v>
      </c>
      <c r="D220" t="s">
        <v>1698</v>
      </c>
      <c r="E220">
        <v>2017</v>
      </c>
      <c r="F220" t="s">
        <v>1699</v>
      </c>
      <c r="G220">
        <v>1</v>
      </c>
      <c r="H220" t="s">
        <v>97</v>
      </c>
      <c r="I220" t="str">
        <f>VLOOKUP($A220,'Type et couleur'!$B:$D,2,0)</f>
        <v>Abs</v>
      </c>
      <c r="J220" t="str">
        <f>VLOOKUP($A220,'Type et couleur'!$B:$D,3,0)</f>
        <v>Clair_Fonce</v>
      </c>
    </row>
    <row r="221" spans="1:10" x14ac:dyDescent="0.25">
      <c r="A221" t="s">
        <v>1677</v>
      </c>
      <c r="B221" t="s">
        <v>1692</v>
      </c>
      <c r="C221" t="s">
        <v>1236</v>
      </c>
      <c r="D221" t="s">
        <v>1661</v>
      </c>
      <c r="E221">
        <v>2013</v>
      </c>
      <c r="F221" t="s">
        <v>901</v>
      </c>
      <c r="G221">
        <v>1</v>
      </c>
      <c r="H221" t="s">
        <v>1515</v>
      </c>
      <c r="I221" t="str">
        <f>VLOOKUP($A221,'Type et couleur'!$B:$D,2,0)</f>
        <v>Pct</v>
      </c>
      <c r="J221" t="str">
        <f>VLOOKUP($A221,'Type et couleur'!$B:$D,3,0)</f>
        <v>Clair_Fonce</v>
      </c>
    </row>
    <row r="222" spans="1:10" x14ac:dyDescent="0.25">
      <c r="A222" t="s">
        <v>1678</v>
      </c>
      <c r="B222" t="s">
        <v>1716</v>
      </c>
      <c r="C222" t="s">
        <v>1236</v>
      </c>
      <c r="D222" t="s">
        <v>1663</v>
      </c>
      <c r="E222">
        <v>2013</v>
      </c>
      <c r="F222" t="s">
        <v>901</v>
      </c>
      <c r="G222">
        <v>1</v>
      </c>
      <c r="H222" t="s">
        <v>1515</v>
      </c>
      <c r="I222" t="str">
        <f>VLOOKUP($A222,'Type et couleur'!$B:$D,2,0)</f>
        <v>Pct</v>
      </c>
      <c r="J222" t="str">
        <f>VLOOKUP($A222,'Type et couleur'!$B:$D,3,0)</f>
        <v>Clair_Fonce</v>
      </c>
    </row>
    <row r="223" spans="1:10" x14ac:dyDescent="0.25">
      <c r="A223" t="s">
        <v>1703</v>
      </c>
      <c r="B223" t="s">
        <v>1704</v>
      </c>
      <c r="C223" t="s">
        <v>1402</v>
      </c>
      <c r="D223" t="s">
        <v>6</v>
      </c>
      <c r="E223">
        <v>2013</v>
      </c>
      <c r="F223" t="s">
        <v>1705</v>
      </c>
      <c r="G223">
        <v>1</v>
      </c>
      <c r="H223" t="s">
        <v>97</v>
      </c>
      <c r="I223" t="str">
        <f>VLOOKUP($A223,'Type et couleur'!$B:$D,2,0)</f>
        <v>Abs</v>
      </c>
      <c r="J223" t="str">
        <f>VLOOKUP($A223,'Type et couleur'!$B:$D,3,0)</f>
        <v>Clair_Fonce</v>
      </c>
    </row>
    <row r="224" spans="1:10" x14ac:dyDescent="0.25">
      <c r="A224" t="s">
        <v>1706</v>
      </c>
      <c r="B224" t="s">
        <v>1708</v>
      </c>
      <c r="C224" t="s">
        <v>1402</v>
      </c>
      <c r="D224" t="s">
        <v>6</v>
      </c>
      <c r="E224">
        <v>2013</v>
      </c>
      <c r="F224" t="s">
        <v>1707</v>
      </c>
      <c r="G224">
        <v>1</v>
      </c>
      <c r="H224" t="s">
        <v>97</v>
      </c>
      <c r="I224" t="str">
        <f>VLOOKUP($A224,'Type et couleur'!$B:$D,2,0)</f>
        <v>Abs</v>
      </c>
      <c r="J224" t="str">
        <f>VLOOKUP($A224,'Type et couleur'!$B:$D,3,0)</f>
        <v>Clair_Fonce</v>
      </c>
    </row>
    <row r="225" spans="1:10" x14ac:dyDescent="0.25">
      <c r="A225" t="s">
        <v>1718</v>
      </c>
      <c r="B225" t="s">
        <v>1727</v>
      </c>
      <c r="C225" t="s">
        <v>918</v>
      </c>
      <c r="D225" t="s">
        <v>1738</v>
      </c>
      <c r="E225">
        <v>2010</v>
      </c>
      <c r="F225" t="s">
        <v>901</v>
      </c>
      <c r="G225">
        <v>1</v>
      </c>
      <c r="H225" t="s">
        <v>1515</v>
      </c>
      <c r="I225" t="str">
        <f>VLOOKUP($A225,'Type et couleur'!$B:$D,2,0)</f>
        <v>Factor</v>
      </c>
      <c r="J225" t="str">
        <f>VLOOKUP($A225,'Type et couleur'!$B:$D,3,0)</f>
        <v>Factor</v>
      </c>
    </row>
    <row r="226" spans="1:10" x14ac:dyDescent="0.25">
      <c r="A226" t="s">
        <v>1719</v>
      </c>
      <c r="B226" t="s">
        <v>1728</v>
      </c>
      <c r="C226" t="s">
        <v>918</v>
      </c>
      <c r="D226" t="s">
        <v>1738</v>
      </c>
      <c r="F226" t="s">
        <v>1740</v>
      </c>
      <c r="G226">
        <v>1</v>
      </c>
      <c r="H226" t="s">
        <v>1515</v>
      </c>
      <c r="I226" t="str">
        <f>VLOOKUP($A226,'Type et couleur'!$B:$D,2,0)</f>
        <v>Factor</v>
      </c>
      <c r="J226" t="str">
        <f>VLOOKUP($A226,'Type et couleur'!$B:$D,3,0)</f>
        <v>Factor</v>
      </c>
    </row>
    <row r="227" spans="1:10" x14ac:dyDescent="0.25">
      <c r="A227" t="s">
        <v>1720</v>
      </c>
      <c r="B227" t="s">
        <v>1729</v>
      </c>
      <c r="C227" t="s">
        <v>918</v>
      </c>
      <c r="D227" t="s">
        <v>1738</v>
      </c>
      <c r="F227" t="s">
        <v>1740</v>
      </c>
      <c r="G227">
        <v>1</v>
      </c>
      <c r="H227" t="s">
        <v>1515</v>
      </c>
      <c r="I227" t="str">
        <f>VLOOKUP($A227,'Type et couleur'!$B:$D,2,0)</f>
        <v>Factor</v>
      </c>
      <c r="J227" t="str">
        <f>VLOOKUP($A227,'Type et couleur'!$B:$D,3,0)</f>
        <v>Factor</v>
      </c>
    </row>
    <row r="228" spans="1:10" x14ac:dyDescent="0.25">
      <c r="A228" t="s">
        <v>1721</v>
      </c>
      <c r="B228" t="s">
        <v>1757</v>
      </c>
      <c r="C228" t="s">
        <v>1401</v>
      </c>
      <c r="D228" t="s">
        <v>1536</v>
      </c>
      <c r="E228">
        <v>2015</v>
      </c>
      <c r="F228" t="s">
        <v>901</v>
      </c>
      <c r="G228">
        <v>1</v>
      </c>
      <c r="H228" t="s">
        <v>1515</v>
      </c>
      <c r="I228" t="str">
        <f>VLOOKUP($A228,'Type et couleur'!$B:$D,2,0)</f>
        <v>Pct</v>
      </c>
      <c r="J228" t="str">
        <f>VLOOKUP($A228,'Type et couleur'!$B:$D,3,0)</f>
        <v>Clair_Fonce</v>
      </c>
    </row>
    <row r="229" spans="1:10" x14ac:dyDescent="0.25">
      <c r="A229" t="s">
        <v>1722</v>
      </c>
      <c r="B229" t="s">
        <v>1731</v>
      </c>
      <c r="C229" t="s">
        <v>1401</v>
      </c>
      <c r="D229" t="s">
        <v>1536</v>
      </c>
      <c r="E229">
        <v>2015</v>
      </c>
      <c r="F229" t="s">
        <v>901</v>
      </c>
      <c r="G229">
        <v>1</v>
      </c>
      <c r="H229" t="s">
        <v>1515</v>
      </c>
      <c r="I229" t="str">
        <f>VLOOKUP($A229,'Type et couleur'!$B:$D,2,0)</f>
        <v>Pct</v>
      </c>
      <c r="J229" t="str">
        <f>VLOOKUP($A229,'Type et couleur'!$B:$D,3,0)</f>
        <v>Clair_Fonce</v>
      </c>
    </row>
    <row r="230" spans="1:10" x14ac:dyDescent="0.25">
      <c r="A230" t="s">
        <v>1723</v>
      </c>
      <c r="B230" t="s">
        <v>1744</v>
      </c>
      <c r="C230" t="s">
        <v>1401</v>
      </c>
      <c r="D230" t="s">
        <v>1547</v>
      </c>
      <c r="E230">
        <v>2013</v>
      </c>
      <c r="F230" t="s">
        <v>1741</v>
      </c>
      <c r="G230">
        <v>1</v>
      </c>
      <c r="H230" t="s">
        <v>1515</v>
      </c>
      <c r="I230" t="str">
        <f>VLOOKUP($A230,'Type et couleur'!$B:$D,2,0)</f>
        <v>Abs</v>
      </c>
      <c r="J230" t="str">
        <f>VLOOKUP($A230,'Type et couleur'!$B:$D,3,0)</f>
        <v>Clair_Fonce</v>
      </c>
    </row>
    <row r="231" spans="1:10" x14ac:dyDescent="0.25">
      <c r="A231" t="s">
        <v>1745</v>
      </c>
      <c r="B231" t="s">
        <v>1743</v>
      </c>
      <c r="C231" t="s">
        <v>1401</v>
      </c>
      <c r="D231" t="s">
        <v>1547</v>
      </c>
      <c r="E231">
        <v>2013</v>
      </c>
      <c r="F231" t="s">
        <v>901</v>
      </c>
      <c r="G231">
        <v>1</v>
      </c>
      <c r="H231" t="s">
        <v>1515</v>
      </c>
      <c r="I231" t="str">
        <f>VLOOKUP($A231,'Type et couleur'!$B:$D,2,0)</f>
        <v>Abs</v>
      </c>
      <c r="J231" t="str">
        <f>VLOOKUP($A231,'Type et couleur'!$B:$D,3,0)</f>
        <v>Clair_Fonce</v>
      </c>
    </row>
    <row r="232" spans="1:10" x14ac:dyDescent="0.25">
      <c r="A232" t="s">
        <v>1725</v>
      </c>
      <c r="B232" t="s">
        <v>1734</v>
      </c>
      <c r="C232" t="s">
        <v>918</v>
      </c>
      <c r="D232" t="s">
        <v>1738</v>
      </c>
      <c r="E232">
        <v>2010</v>
      </c>
      <c r="F232" t="s">
        <v>1742</v>
      </c>
      <c r="G232">
        <v>1</v>
      </c>
      <c r="H232" t="s">
        <v>1515</v>
      </c>
      <c r="I232" t="str">
        <f>VLOOKUP($A232,'Type et couleur'!$B:$D,2,0)</f>
        <v>Factor</v>
      </c>
      <c r="J232" t="str">
        <f>VLOOKUP($A232,'Type et couleur'!$B:$D,3,0)</f>
        <v>Factor</v>
      </c>
    </row>
    <row r="233" spans="1:10" x14ac:dyDescent="0.25">
      <c r="A233" t="s">
        <v>1726</v>
      </c>
      <c r="B233" t="s">
        <v>1736</v>
      </c>
      <c r="C233" t="s">
        <v>1236</v>
      </c>
      <c r="D233" t="s">
        <v>1662</v>
      </c>
      <c r="E233">
        <v>2013</v>
      </c>
      <c r="F233" t="s">
        <v>901</v>
      </c>
      <c r="G233">
        <v>1</v>
      </c>
      <c r="H233" t="s">
        <v>1515</v>
      </c>
      <c r="I233" t="str">
        <f>VLOOKUP($A233,'Type et couleur'!$B:$D,2,0)</f>
        <v>Pct</v>
      </c>
      <c r="J233" t="str">
        <f>VLOOKUP($A233,'Type et couleur'!$B:$D,3,0)</f>
        <v>Clair_Fonce</v>
      </c>
    </row>
    <row r="234" spans="1:10" x14ac:dyDescent="0.25">
      <c r="A234" t="s">
        <v>1372</v>
      </c>
      <c r="B234" t="s">
        <v>1735</v>
      </c>
      <c r="C234" t="s">
        <v>919</v>
      </c>
      <c r="D234" t="s">
        <v>1737</v>
      </c>
      <c r="E234">
        <v>2013</v>
      </c>
      <c r="F234" t="s">
        <v>901</v>
      </c>
      <c r="G234">
        <v>1</v>
      </c>
      <c r="H234" t="s">
        <v>97</v>
      </c>
      <c r="I234" t="str">
        <f>VLOOKUP($A234,'Type et couleur'!$B:$D,2,0)</f>
        <v>Abs</v>
      </c>
      <c r="J234" t="str">
        <f>VLOOKUP($A234,'Type et couleur'!$B:$D,3,0)</f>
        <v>Factor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263"/>
  <sheetViews>
    <sheetView showGridLines="0" topLeftCell="A249" workbookViewId="0">
      <selection activeCell="D263" sqref="D263"/>
    </sheetView>
  </sheetViews>
  <sheetFormatPr defaultRowHeight="15" x14ac:dyDescent="0.25"/>
  <cols>
    <col min="2" max="2" width="47.28515625" customWidth="1"/>
    <col min="3" max="3" width="13.140625" customWidth="1"/>
    <col min="4" max="4" width="38.7109375" customWidth="1"/>
  </cols>
  <sheetData>
    <row r="2" spans="2:4" x14ac:dyDescent="0.25">
      <c r="B2" s="18" t="s">
        <v>0</v>
      </c>
      <c r="C2" s="13" t="s">
        <v>1</v>
      </c>
      <c r="D2" s="20" t="s">
        <v>2</v>
      </c>
    </row>
    <row r="3" spans="2:4" x14ac:dyDescent="0.25">
      <c r="B3" s="19" t="s">
        <v>428</v>
      </c>
      <c r="C3" s="2" t="s">
        <v>96</v>
      </c>
      <c r="D3" s="15" t="s">
        <v>96</v>
      </c>
    </row>
    <row r="4" spans="2:4" x14ac:dyDescent="0.25">
      <c r="B4" s="17" t="s">
        <v>3</v>
      </c>
      <c r="C4" s="2" t="s">
        <v>4</v>
      </c>
      <c r="D4" s="16" t="s">
        <v>5</v>
      </c>
    </row>
    <row r="5" spans="2:4" x14ac:dyDescent="0.25">
      <c r="B5" s="17" t="s">
        <v>1050</v>
      </c>
      <c r="C5" s="2" t="s">
        <v>18</v>
      </c>
      <c r="D5" s="16" t="s">
        <v>5</v>
      </c>
    </row>
    <row r="6" spans="2:4" x14ac:dyDescent="0.25">
      <c r="B6" s="17" t="s">
        <v>1056</v>
      </c>
      <c r="C6" s="2" t="s">
        <v>18</v>
      </c>
      <c r="D6" s="16" t="s">
        <v>5</v>
      </c>
    </row>
    <row r="7" spans="2:4" x14ac:dyDescent="0.25">
      <c r="B7" s="17" t="s">
        <v>1061</v>
      </c>
      <c r="C7" s="2" t="s">
        <v>18</v>
      </c>
      <c r="D7" s="16" t="s">
        <v>5</v>
      </c>
    </row>
    <row r="8" spans="2:4" x14ac:dyDescent="0.25">
      <c r="B8" s="17" t="s">
        <v>1073</v>
      </c>
      <c r="C8" s="2" t="s">
        <v>18</v>
      </c>
      <c r="D8" s="16" t="s">
        <v>5</v>
      </c>
    </row>
    <row r="9" spans="2:4" x14ac:dyDescent="0.25">
      <c r="B9" s="17" t="s">
        <v>1074</v>
      </c>
      <c r="C9" s="2" t="s">
        <v>18</v>
      </c>
      <c r="D9" s="16" t="s">
        <v>5</v>
      </c>
    </row>
    <row r="10" spans="2:4" x14ac:dyDescent="0.25">
      <c r="B10" s="17" t="s">
        <v>1075</v>
      </c>
      <c r="C10" s="2" t="s">
        <v>18</v>
      </c>
      <c r="D10" s="16" t="s">
        <v>5</v>
      </c>
    </row>
    <row r="11" spans="2:4" x14ac:dyDescent="0.25">
      <c r="B11" s="17" t="s">
        <v>1086</v>
      </c>
      <c r="C11" s="2" t="s">
        <v>18</v>
      </c>
      <c r="D11" s="16" t="s">
        <v>5</v>
      </c>
    </row>
    <row r="12" spans="2:4" x14ac:dyDescent="0.25">
      <c r="B12" s="17" t="s">
        <v>1087</v>
      </c>
      <c r="C12" s="2" t="s">
        <v>18</v>
      </c>
      <c r="D12" s="16" t="s">
        <v>5</v>
      </c>
    </row>
    <row r="13" spans="2:4" x14ac:dyDescent="0.25">
      <c r="B13" s="17" t="s">
        <v>1088</v>
      </c>
      <c r="C13" s="2" t="s">
        <v>18</v>
      </c>
      <c r="D13" s="16" t="s">
        <v>5</v>
      </c>
    </row>
    <row r="14" spans="2:4" x14ac:dyDescent="0.25">
      <c r="B14" s="17" t="s">
        <v>1089</v>
      </c>
      <c r="C14" s="2" t="s">
        <v>18</v>
      </c>
      <c r="D14" s="16" t="s">
        <v>5</v>
      </c>
    </row>
    <row r="15" spans="2:4" x14ac:dyDescent="0.25">
      <c r="B15" s="17" t="s">
        <v>1671</v>
      </c>
      <c r="C15" s="2" t="s">
        <v>18</v>
      </c>
      <c r="D15" s="16" t="s">
        <v>5</v>
      </c>
    </row>
    <row r="16" spans="2:4" x14ac:dyDescent="0.25">
      <c r="B16" s="17" t="s">
        <v>19</v>
      </c>
      <c r="C16" s="2" t="s">
        <v>18</v>
      </c>
      <c r="D16" s="16" t="s">
        <v>21</v>
      </c>
    </row>
    <row r="17" spans="2:4" x14ac:dyDescent="0.25">
      <c r="B17" s="17" t="s">
        <v>22</v>
      </c>
      <c r="C17" s="2" t="s">
        <v>18</v>
      </c>
      <c r="D17" s="16" t="s">
        <v>21</v>
      </c>
    </row>
    <row r="18" spans="2:4" x14ac:dyDescent="0.25">
      <c r="B18" s="17" t="s">
        <v>1578</v>
      </c>
      <c r="C18" s="2" t="s">
        <v>18</v>
      </c>
      <c r="D18" s="16" t="s">
        <v>5</v>
      </c>
    </row>
    <row r="19" spans="2:4" x14ac:dyDescent="0.25">
      <c r="B19" s="17" t="s">
        <v>1579</v>
      </c>
      <c r="C19" s="2" t="s">
        <v>18</v>
      </c>
      <c r="D19" s="16" t="s">
        <v>5</v>
      </c>
    </row>
    <row r="20" spans="2:4" x14ac:dyDescent="0.25">
      <c r="B20" s="17" t="s">
        <v>1580</v>
      </c>
      <c r="C20" s="2" t="s">
        <v>18</v>
      </c>
      <c r="D20" s="16" t="s">
        <v>5</v>
      </c>
    </row>
    <row r="21" spans="2:4" x14ac:dyDescent="0.25">
      <c r="B21" s="17" t="s">
        <v>1581</v>
      </c>
      <c r="C21" s="2" t="s">
        <v>18</v>
      </c>
      <c r="D21" s="16" t="s">
        <v>5</v>
      </c>
    </row>
    <row r="22" spans="2:4" x14ac:dyDescent="0.25">
      <c r="B22" s="17" t="s">
        <v>1582</v>
      </c>
      <c r="C22" s="2" t="s">
        <v>18</v>
      </c>
      <c r="D22" s="16" t="s">
        <v>5</v>
      </c>
    </row>
    <row r="23" spans="2:4" x14ac:dyDescent="0.25">
      <c r="B23" s="17" t="s">
        <v>1583</v>
      </c>
      <c r="C23" s="2" t="s">
        <v>18</v>
      </c>
      <c r="D23" s="16" t="s">
        <v>5</v>
      </c>
    </row>
    <row r="24" spans="2:4" x14ac:dyDescent="0.25">
      <c r="B24" s="17" t="s">
        <v>1584</v>
      </c>
      <c r="C24" s="2" t="s">
        <v>18</v>
      </c>
      <c r="D24" s="16" t="s">
        <v>5</v>
      </c>
    </row>
    <row r="25" spans="2:4" x14ac:dyDescent="0.25">
      <c r="B25" s="17" t="s">
        <v>1585</v>
      </c>
      <c r="C25" s="2" t="s">
        <v>18</v>
      </c>
      <c r="D25" s="16" t="s">
        <v>5</v>
      </c>
    </row>
    <row r="26" spans="2:4" x14ac:dyDescent="0.25">
      <c r="B26" s="17" t="s">
        <v>30</v>
      </c>
      <c r="C26" s="2" t="s">
        <v>18</v>
      </c>
      <c r="D26" s="16" t="s">
        <v>5</v>
      </c>
    </row>
    <row r="27" spans="2:4" x14ac:dyDescent="0.25">
      <c r="B27" s="17" t="s">
        <v>32</v>
      </c>
      <c r="C27" s="2" t="s">
        <v>18</v>
      </c>
      <c r="D27" s="16" t="s">
        <v>5</v>
      </c>
    </row>
    <row r="28" spans="2:4" x14ac:dyDescent="0.25">
      <c r="B28" s="17" t="s">
        <v>1092</v>
      </c>
      <c r="C28" s="2" t="s">
        <v>18</v>
      </c>
      <c r="D28" s="16" t="s">
        <v>5</v>
      </c>
    </row>
    <row r="29" spans="2:4" x14ac:dyDescent="0.25">
      <c r="B29" s="17" t="s">
        <v>1093</v>
      </c>
      <c r="C29" s="2" t="s">
        <v>18</v>
      </c>
      <c r="D29" s="16" t="s">
        <v>5</v>
      </c>
    </row>
    <row r="30" spans="2:4" x14ac:dyDescent="0.25">
      <c r="B30" s="17" t="s">
        <v>1094</v>
      </c>
      <c r="C30" s="2" t="s">
        <v>18</v>
      </c>
      <c r="D30" s="16" t="s">
        <v>5</v>
      </c>
    </row>
    <row r="31" spans="2:4" x14ac:dyDescent="0.25">
      <c r="B31" s="17" t="s">
        <v>1095</v>
      </c>
      <c r="C31" s="2" t="s">
        <v>18</v>
      </c>
      <c r="D31" s="16" t="s">
        <v>5</v>
      </c>
    </row>
    <row r="32" spans="2:4" x14ac:dyDescent="0.25">
      <c r="B32" s="17" t="s">
        <v>33</v>
      </c>
      <c r="C32" s="2" t="s">
        <v>18</v>
      </c>
      <c r="D32" s="16" t="s">
        <v>35</v>
      </c>
    </row>
    <row r="33" spans="2:4" x14ac:dyDescent="0.25">
      <c r="B33" s="17" t="s">
        <v>36</v>
      </c>
      <c r="C33" s="2" t="s">
        <v>18</v>
      </c>
      <c r="D33" s="16" t="s">
        <v>35</v>
      </c>
    </row>
    <row r="34" spans="2:4" x14ac:dyDescent="0.25">
      <c r="B34" s="17" t="s">
        <v>38</v>
      </c>
      <c r="C34" s="2" t="s">
        <v>18</v>
      </c>
      <c r="D34" s="16" t="s">
        <v>35</v>
      </c>
    </row>
    <row r="35" spans="2:4" x14ac:dyDescent="0.25">
      <c r="B35" s="17" t="s">
        <v>40</v>
      </c>
      <c r="C35" s="2" t="s">
        <v>18</v>
      </c>
      <c r="D35" s="16" t="s">
        <v>35</v>
      </c>
    </row>
    <row r="36" spans="2:4" x14ac:dyDescent="0.25">
      <c r="B36" s="17" t="s">
        <v>80</v>
      </c>
      <c r="C36" s="2" t="s">
        <v>18</v>
      </c>
      <c r="D36" s="16" t="s">
        <v>5</v>
      </c>
    </row>
    <row r="37" spans="2:4" x14ac:dyDescent="0.25">
      <c r="B37" s="17" t="s">
        <v>81</v>
      </c>
      <c r="C37" s="2" t="s">
        <v>18</v>
      </c>
      <c r="D37" s="16" t="s">
        <v>5</v>
      </c>
    </row>
    <row r="38" spans="2:4" x14ac:dyDescent="0.25">
      <c r="B38" s="17" t="s">
        <v>82</v>
      </c>
      <c r="C38" s="2" t="s">
        <v>18</v>
      </c>
      <c r="D38" s="16" t="s">
        <v>5</v>
      </c>
    </row>
    <row r="39" spans="2:4" x14ac:dyDescent="0.25">
      <c r="B39" s="17" t="s">
        <v>83</v>
      </c>
      <c r="C39" s="2" t="s">
        <v>18</v>
      </c>
      <c r="D39" s="16" t="s">
        <v>5</v>
      </c>
    </row>
    <row r="40" spans="2:4" x14ac:dyDescent="0.25">
      <c r="B40" s="17" t="s">
        <v>84</v>
      </c>
      <c r="C40" s="2" t="s">
        <v>18</v>
      </c>
      <c r="D40" s="16" t="s">
        <v>5</v>
      </c>
    </row>
    <row r="41" spans="2:4" x14ac:dyDescent="0.25">
      <c r="B41" s="17" t="s">
        <v>85</v>
      </c>
      <c r="C41" s="2" t="s">
        <v>18</v>
      </c>
      <c r="D41" s="16" t="s">
        <v>5</v>
      </c>
    </row>
    <row r="42" spans="2:4" x14ac:dyDescent="0.25">
      <c r="B42" s="17" t="s">
        <v>1096</v>
      </c>
      <c r="C42" s="2" t="s">
        <v>18</v>
      </c>
      <c r="D42" s="16" t="s">
        <v>5</v>
      </c>
    </row>
    <row r="43" spans="2:4" x14ac:dyDescent="0.25">
      <c r="B43" s="17" t="s">
        <v>1097</v>
      </c>
      <c r="C43" s="2" t="s">
        <v>18</v>
      </c>
      <c r="D43" s="16" t="s">
        <v>5</v>
      </c>
    </row>
    <row r="44" spans="2:4" x14ac:dyDescent="0.25">
      <c r="B44" s="17" t="s">
        <v>1098</v>
      </c>
      <c r="C44" s="2" t="s">
        <v>18</v>
      </c>
      <c r="D44" s="16" t="s">
        <v>5</v>
      </c>
    </row>
    <row r="45" spans="2:4" x14ac:dyDescent="0.25">
      <c r="B45" s="17" t="s">
        <v>1099</v>
      </c>
      <c r="C45" s="2" t="s">
        <v>18</v>
      </c>
      <c r="D45" s="16" t="s">
        <v>5</v>
      </c>
    </row>
    <row r="46" spans="2:4" x14ac:dyDescent="0.25">
      <c r="B46" s="17" t="s">
        <v>1100</v>
      </c>
      <c r="C46" s="2" t="s">
        <v>4</v>
      </c>
      <c r="D46" s="16" t="s">
        <v>5</v>
      </c>
    </row>
    <row r="47" spans="2:4" x14ac:dyDescent="0.25">
      <c r="B47" s="17" t="s">
        <v>1458</v>
      </c>
      <c r="C47" s="2" t="s">
        <v>4</v>
      </c>
      <c r="D47" s="16" t="s">
        <v>5</v>
      </c>
    </row>
    <row r="48" spans="2:4" x14ac:dyDescent="0.25">
      <c r="B48" s="17" t="s">
        <v>1459</v>
      </c>
      <c r="C48" s="2" t="s">
        <v>4</v>
      </c>
      <c r="D48" s="16" t="s">
        <v>5</v>
      </c>
    </row>
    <row r="49" spans="2:4" x14ac:dyDescent="0.25">
      <c r="B49" s="17" t="s">
        <v>1460</v>
      </c>
      <c r="C49" s="2" t="s">
        <v>4</v>
      </c>
      <c r="D49" s="16" t="s">
        <v>5</v>
      </c>
    </row>
    <row r="50" spans="2:4" x14ac:dyDescent="0.25">
      <c r="B50" s="17" t="s">
        <v>1461</v>
      </c>
      <c r="C50" s="2" t="s">
        <v>4</v>
      </c>
      <c r="D50" s="16" t="s">
        <v>5</v>
      </c>
    </row>
    <row r="51" spans="2:4" x14ac:dyDescent="0.25">
      <c r="B51" s="17" t="s">
        <v>1462</v>
      </c>
      <c r="C51" s="2" t="s">
        <v>4</v>
      </c>
      <c r="D51" s="16" t="s">
        <v>5</v>
      </c>
    </row>
    <row r="52" spans="2:4" x14ac:dyDescent="0.25">
      <c r="B52" s="17" t="s">
        <v>1463</v>
      </c>
      <c r="C52" s="2" t="s">
        <v>4</v>
      </c>
      <c r="D52" s="16" t="s">
        <v>5</v>
      </c>
    </row>
    <row r="53" spans="2:4" x14ac:dyDescent="0.25">
      <c r="B53" s="17" t="s">
        <v>1464</v>
      </c>
      <c r="C53" s="2" t="s">
        <v>4</v>
      </c>
      <c r="D53" s="16" t="s">
        <v>5</v>
      </c>
    </row>
    <row r="54" spans="2:4" x14ac:dyDescent="0.25">
      <c r="B54" s="17" t="s">
        <v>1465</v>
      </c>
      <c r="C54" s="2" t="s">
        <v>4</v>
      </c>
      <c r="D54" s="16" t="s">
        <v>5</v>
      </c>
    </row>
    <row r="55" spans="2:4" x14ac:dyDescent="0.25">
      <c r="B55" s="17" t="s">
        <v>1466</v>
      </c>
      <c r="C55" s="2" t="s">
        <v>4</v>
      </c>
      <c r="D55" s="16" t="s">
        <v>5</v>
      </c>
    </row>
    <row r="56" spans="2:4" x14ac:dyDescent="0.25">
      <c r="B56" s="17" t="s">
        <v>1467</v>
      </c>
      <c r="C56" s="2" t="s">
        <v>4</v>
      </c>
      <c r="D56" s="16" t="s">
        <v>5</v>
      </c>
    </row>
    <row r="57" spans="2:4" x14ac:dyDescent="0.25">
      <c r="B57" s="17" t="s">
        <v>1468</v>
      </c>
      <c r="C57" s="2" t="s">
        <v>4</v>
      </c>
      <c r="D57" s="16" t="s">
        <v>5</v>
      </c>
    </row>
    <row r="58" spans="2:4" x14ac:dyDescent="0.25">
      <c r="B58" s="17" t="s">
        <v>1469</v>
      </c>
      <c r="C58" s="2" t="s">
        <v>4</v>
      </c>
      <c r="D58" s="16" t="s">
        <v>5</v>
      </c>
    </row>
    <row r="59" spans="2:4" x14ac:dyDescent="0.25">
      <c r="B59" s="17" t="s">
        <v>1456</v>
      </c>
      <c r="C59" s="2" t="s">
        <v>18</v>
      </c>
      <c r="D59" s="16" t="s">
        <v>5</v>
      </c>
    </row>
    <row r="60" spans="2:4" x14ac:dyDescent="0.25">
      <c r="B60" s="17" t="s">
        <v>1457</v>
      </c>
      <c r="C60" s="2" t="s">
        <v>18</v>
      </c>
      <c r="D60" s="16" t="s">
        <v>5</v>
      </c>
    </row>
    <row r="61" spans="2:4" x14ac:dyDescent="0.25">
      <c r="B61" s="17" t="s">
        <v>1498</v>
      </c>
      <c r="C61" s="2" t="s">
        <v>18</v>
      </c>
      <c r="D61" s="16" t="s">
        <v>5</v>
      </c>
    </row>
    <row r="62" spans="2:4" x14ac:dyDescent="0.25">
      <c r="B62" s="17" t="s">
        <v>1502</v>
      </c>
      <c r="C62" s="2" t="s">
        <v>18</v>
      </c>
      <c r="D62" s="16" t="s">
        <v>5</v>
      </c>
    </row>
    <row r="63" spans="2:4" x14ac:dyDescent="0.25">
      <c r="B63" s="17" t="s">
        <v>1503</v>
      </c>
      <c r="C63" s="2" t="s">
        <v>18</v>
      </c>
      <c r="D63" s="16" t="s">
        <v>5</v>
      </c>
    </row>
    <row r="64" spans="2:4" x14ac:dyDescent="0.25">
      <c r="B64" s="17" t="s">
        <v>1504</v>
      </c>
      <c r="C64" s="2" t="s">
        <v>18</v>
      </c>
      <c r="D64" s="16" t="s">
        <v>5</v>
      </c>
    </row>
    <row r="65" spans="2:4" x14ac:dyDescent="0.25">
      <c r="B65" s="17" t="s">
        <v>1505</v>
      </c>
      <c r="C65" s="2" t="s">
        <v>18</v>
      </c>
      <c r="D65" s="16" t="s">
        <v>5</v>
      </c>
    </row>
    <row r="66" spans="2:4" x14ac:dyDescent="0.25">
      <c r="B66" s="17" t="s">
        <v>1506</v>
      </c>
      <c r="C66" s="2" t="s">
        <v>18</v>
      </c>
      <c r="D66" s="16" t="s">
        <v>5</v>
      </c>
    </row>
    <row r="67" spans="2:4" x14ac:dyDescent="0.25">
      <c r="B67" s="17" t="s">
        <v>1507</v>
      </c>
      <c r="C67" s="2" t="s">
        <v>18</v>
      </c>
      <c r="D67" s="16" t="s">
        <v>5</v>
      </c>
    </row>
    <row r="68" spans="2:4" x14ac:dyDescent="0.25">
      <c r="B68" s="17" t="s">
        <v>1508</v>
      </c>
      <c r="C68" s="2" t="s">
        <v>18</v>
      </c>
      <c r="D68" s="16" t="s">
        <v>5</v>
      </c>
    </row>
    <row r="69" spans="2:4" x14ac:dyDescent="0.25">
      <c r="B69" s="17" t="s">
        <v>1509</v>
      </c>
      <c r="C69" s="2" t="s">
        <v>18</v>
      </c>
      <c r="D69" s="16" t="s">
        <v>5</v>
      </c>
    </row>
    <row r="70" spans="2:4" x14ac:dyDescent="0.25">
      <c r="B70" s="17" t="s">
        <v>1510</v>
      </c>
      <c r="C70" s="2" t="s">
        <v>18</v>
      </c>
      <c r="D70" s="16" t="s">
        <v>5</v>
      </c>
    </row>
    <row r="71" spans="2:4" x14ac:dyDescent="0.25">
      <c r="B71" s="17" t="s">
        <v>1511</v>
      </c>
      <c r="C71" s="2" t="s">
        <v>18</v>
      </c>
      <c r="D71" s="16" t="s">
        <v>5</v>
      </c>
    </row>
    <row r="72" spans="2:4" x14ac:dyDescent="0.25">
      <c r="B72" s="17" t="s">
        <v>1535</v>
      </c>
      <c r="C72" s="2" t="s">
        <v>4</v>
      </c>
      <c r="D72" s="16" t="s">
        <v>5</v>
      </c>
    </row>
    <row r="73" spans="2:4" x14ac:dyDescent="0.25">
      <c r="B73" s="17" t="s">
        <v>1546</v>
      </c>
      <c r="C73" s="2" t="s">
        <v>4</v>
      </c>
      <c r="D73" s="16" t="s">
        <v>5</v>
      </c>
    </row>
    <row r="74" spans="2:4" x14ac:dyDescent="0.25">
      <c r="B74" s="17" t="s">
        <v>1548</v>
      </c>
      <c r="C74" s="2" t="s">
        <v>18</v>
      </c>
      <c r="D74" s="16" t="s">
        <v>5</v>
      </c>
    </row>
    <row r="75" spans="2:4" x14ac:dyDescent="0.25">
      <c r="B75" s="17" t="s">
        <v>1549</v>
      </c>
      <c r="C75" s="2" t="s">
        <v>18</v>
      </c>
      <c r="D75" s="16" t="s">
        <v>5</v>
      </c>
    </row>
    <row r="76" spans="2:4" x14ac:dyDescent="0.25">
      <c r="B76" s="17" t="s">
        <v>1550</v>
      </c>
      <c r="C76" s="2" t="s">
        <v>18</v>
      </c>
      <c r="D76" s="16" t="s">
        <v>5</v>
      </c>
    </row>
    <row r="77" spans="2:4" x14ac:dyDescent="0.25">
      <c r="B77" s="17" t="s">
        <v>1551</v>
      </c>
      <c r="C77" s="2" t="s">
        <v>18</v>
      </c>
      <c r="D77" s="16" t="s">
        <v>5</v>
      </c>
    </row>
    <row r="78" spans="2:4" x14ac:dyDescent="0.25">
      <c r="B78" s="17" t="s">
        <v>1552</v>
      </c>
      <c r="C78" s="2" t="s">
        <v>18</v>
      </c>
      <c r="D78" s="16" t="s">
        <v>5</v>
      </c>
    </row>
    <row r="79" spans="2:4" x14ac:dyDescent="0.25">
      <c r="B79" s="17" t="s">
        <v>1553</v>
      </c>
      <c r="C79" s="2" t="s">
        <v>18</v>
      </c>
      <c r="D79" s="16" t="s">
        <v>5</v>
      </c>
    </row>
    <row r="80" spans="2:4" x14ac:dyDescent="0.25">
      <c r="B80" s="17" t="s">
        <v>1554</v>
      </c>
      <c r="C80" s="2" t="s">
        <v>18</v>
      </c>
      <c r="D80" s="16" t="s">
        <v>5</v>
      </c>
    </row>
    <row r="81" spans="2:4" x14ac:dyDescent="0.25">
      <c r="B81" s="17" t="s">
        <v>1555</v>
      </c>
      <c r="C81" s="2" t="s">
        <v>18</v>
      </c>
      <c r="D81" s="16" t="s">
        <v>5</v>
      </c>
    </row>
    <row r="82" spans="2:4" x14ac:dyDescent="0.25">
      <c r="B82" s="17" t="s">
        <v>1145</v>
      </c>
      <c r="C82" s="2" t="s">
        <v>96</v>
      </c>
      <c r="D82" s="16" t="s">
        <v>5</v>
      </c>
    </row>
    <row r="83" spans="2:4" x14ac:dyDescent="0.25">
      <c r="B83" s="17" t="s">
        <v>73</v>
      </c>
      <c r="C83" s="2" t="s">
        <v>96</v>
      </c>
      <c r="D83" s="16" t="s">
        <v>5</v>
      </c>
    </row>
    <row r="84" spans="2:4" x14ac:dyDescent="0.25">
      <c r="B84" s="17" t="s">
        <v>74</v>
      </c>
      <c r="C84" s="2" t="s">
        <v>96</v>
      </c>
      <c r="D84" s="16" t="s">
        <v>5</v>
      </c>
    </row>
    <row r="85" spans="2:4" x14ac:dyDescent="0.25">
      <c r="B85" s="17" t="s">
        <v>75</v>
      </c>
      <c r="C85" s="2" t="s">
        <v>96</v>
      </c>
      <c r="D85" s="16" t="s">
        <v>96</v>
      </c>
    </row>
    <row r="86" spans="2:4" x14ac:dyDescent="0.25">
      <c r="B86" s="17" t="s">
        <v>58</v>
      </c>
      <c r="C86" s="2" t="s">
        <v>96</v>
      </c>
      <c r="D86" s="16" t="s">
        <v>96</v>
      </c>
    </row>
    <row r="87" spans="2:4" x14ac:dyDescent="0.25">
      <c r="B87" s="17" t="s">
        <v>60</v>
      </c>
      <c r="C87" s="2" t="s">
        <v>96</v>
      </c>
      <c r="D87" s="16" t="s">
        <v>96</v>
      </c>
    </row>
    <row r="88" spans="2:4" x14ac:dyDescent="0.25">
      <c r="B88" s="17" t="s">
        <v>61</v>
      </c>
      <c r="C88" s="2" t="s">
        <v>96</v>
      </c>
      <c r="D88" s="16" t="s">
        <v>96</v>
      </c>
    </row>
    <row r="89" spans="2:4" x14ac:dyDescent="0.25">
      <c r="B89" s="17" t="s">
        <v>62</v>
      </c>
      <c r="C89" s="2" t="s">
        <v>96</v>
      </c>
      <c r="D89" s="16" t="s">
        <v>96</v>
      </c>
    </row>
    <row r="90" spans="2:4" x14ac:dyDescent="0.25">
      <c r="B90" s="17" t="s">
        <v>63</v>
      </c>
      <c r="C90" s="2" t="s">
        <v>96</v>
      </c>
      <c r="D90" s="16" t="s">
        <v>96</v>
      </c>
    </row>
    <row r="91" spans="2:4" x14ac:dyDescent="0.25">
      <c r="B91" s="17" t="s">
        <v>65</v>
      </c>
      <c r="C91" s="2" t="s">
        <v>96</v>
      </c>
      <c r="D91" s="16" t="s">
        <v>96</v>
      </c>
    </row>
    <row r="92" spans="2:4" x14ac:dyDescent="0.25">
      <c r="B92" s="17" t="s">
        <v>67</v>
      </c>
      <c r="C92" s="2" t="s">
        <v>96</v>
      </c>
      <c r="D92" s="16" t="s">
        <v>96</v>
      </c>
    </row>
    <row r="93" spans="2:4" x14ac:dyDescent="0.25">
      <c r="B93" s="17" t="s">
        <v>69</v>
      </c>
      <c r="C93" s="2" t="s">
        <v>96</v>
      </c>
      <c r="D93" s="16" t="s">
        <v>96</v>
      </c>
    </row>
    <row r="94" spans="2:4" x14ac:dyDescent="0.25">
      <c r="B94" s="17" t="s">
        <v>77</v>
      </c>
      <c r="C94" s="2" t="s">
        <v>4</v>
      </c>
      <c r="D94" s="16" t="s">
        <v>5</v>
      </c>
    </row>
    <row r="95" spans="2:4" x14ac:dyDescent="0.25">
      <c r="B95" s="17" t="s">
        <v>1622</v>
      </c>
      <c r="C95" s="2" t="s">
        <v>4</v>
      </c>
      <c r="D95" s="16" t="s">
        <v>5</v>
      </c>
    </row>
    <row r="96" spans="2:4" x14ac:dyDescent="0.25">
      <c r="B96" s="17" t="s">
        <v>1623</v>
      </c>
      <c r="C96" s="2" t="s">
        <v>4</v>
      </c>
      <c r="D96" s="16" t="s">
        <v>5</v>
      </c>
    </row>
    <row r="97" spans="2:4" x14ac:dyDescent="0.25">
      <c r="B97" s="17" t="s">
        <v>1624</v>
      </c>
      <c r="C97" s="2" t="s">
        <v>4</v>
      </c>
      <c r="D97" s="16" t="s">
        <v>5</v>
      </c>
    </row>
    <row r="98" spans="2:4" x14ac:dyDescent="0.25">
      <c r="B98" s="17" t="s">
        <v>1625</v>
      </c>
      <c r="C98" s="2" t="s">
        <v>4</v>
      </c>
      <c r="D98" s="16" t="s">
        <v>5</v>
      </c>
    </row>
    <row r="99" spans="2:4" x14ac:dyDescent="0.25">
      <c r="B99" s="17" t="s">
        <v>1626</v>
      </c>
      <c r="C99" s="2" t="s">
        <v>4</v>
      </c>
      <c r="D99" s="16" t="s">
        <v>5</v>
      </c>
    </row>
    <row r="100" spans="2:4" x14ac:dyDescent="0.25">
      <c r="B100" s="17" t="s">
        <v>1627</v>
      </c>
      <c r="C100" s="2" t="s">
        <v>4</v>
      </c>
      <c r="D100" s="16" t="s">
        <v>5</v>
      </c>
    </row>
    <row r="101" spans="2:4" x14ac:dyDescent="0.25">
      <c r="B101" s="17" t="s">
        <v>1629</v>
      </c>
      <c r="C101" s="2" t="s">
        <v>4</v>
      </c>
      <c r="D101" s="16" t="s">
        <v>5</v>
      </c>
    </row>
    <row r="102" spans="2:4" x14ac:dyDescent="0.25">
      <c r="B102" s="17" t="s">
        <v>7</v>
      </c>
      <c r="C102" s="2" t="s">
        <v>4</v>
      </c>
      <c r="D102" s="16" t="s">
        <v>5</v>
      </c>
    </row>
    <row r="103" spans="2:4" x14ac:dyDescent="0.25">
      <c r="B103" s="17" t="s">
        <v>24</v>
      </c>
      <c r="C103" s="2" t="s">
        <v>18</v>
      </c>
      <c r="D103" s="16" t="s">
        <v>5</v>
      </c>
    </row>
    <row r="104" spans="2:4" x14ac:dyDescent="0.25">
      <c r="B104" s="17" t="s">
        <v>1451</v>
      </c>
      <c r="C104" s="2" t="s">
        <v>18</v>
      </c>
      <c r="D104" s="16" t="s">
        <v>5</v>
      </c>
    </row>
    <row r="105" spans="2:4" x14ac:dyDescent="0.25">
      <c r="B105" s="17" t="s">
        <v>1452</v>
      </c>
      <c r="C105" s="2" t="s">
        <v>18</v>
      </c>
      <c r="D105" s="16" t="s">
        <v>5</v>
      </c>
    </row>
    <row r="106" spans="2:4" x14ac:dyDescent="0.25">
      <c r="B106" s="17" t="s">
        <v>1453</v>
      </c>
      <c r="C106" s="2" t="s">
        <v>18</v>
      </c>
      <c r="D106" s="16" t="s">
        <v>5</v>
      </c>
    </row>
    <row r="107" spans="2:4" x14ac:dyDescent="0.25">
      <c r="B107" s="17" t="s">
        <v>1454</v>
      </c>
      <c r="C107" s="2" t="s">
        <v>18</v>
      </c>
      <c r="D107" s="16" t="s">
        <v>5</v>
      </c>
    </row>
    <row r="108" spans="2:4" x14ac:dyDescent="0.25">
      <c r="B108" s="17" t="s">
        <v>1400</v>
      </c>
      <c r="C108" s="2" t="s">
        <v>4</v>
      </c>
      <c r="D108" s="16" t="s">
        <v>5</v>
      </c>
    </row>
    <row r="109" spans="2:4" x14ac:dyDescent="0.25">
      <c r="B109" s="17" t="s">
        <v>42</v>
      </c>
      <c r="C109" s="2" t="s">
        <v>4</v>
      </c>
      <c r="D109" s="16" t="s">
        <v>5</v>
      </c>
    </row>
    <row r="110" spans="2:4" x14ac:dyDescent="0.25">
      <c r="B110" s="17" t="s">
        <v>43</v>
      </c>
      <c r="C110" s="2" t="s">
        <v>4</v>
      </c>
      <c r="D110" s="16" t="s">
        <v>5</v>
      </c>
    </row>
    <row r="111" spans="2:4" x14ac:dyDescent="0.25">
      <c r="B111" s="17" t="s">
        <v>71</v>
      </c>
      <c r="C111" s="2" t="s">
        <v>4</v>
      </c>
      <c r="D111" s="16" t="s">
        <v>5</v>
      </c>
    </row>
    <row r="112" spans="2:4" x14ac:dyDescent="0.25">
      <c r="B112" s="17" t="s">
        <v>72</v>
      </c>
      <c r="C112" s="2" t="s">
        <v>4</v>
      </c>
      <c r="D112" s="16" t="s">
        <v>5</v>
      </c>
    </row>
    <row r="113" spans="2:4" x14ac:dyDescent="0.25">
      <c r="B113" s="17" t="s">
        <v>1101</v>
      </c>
      <c r="C113" s="2" t="s">
        <v>18</v>
      </c>
      <c r="D113" s="16" t="s">
        <v>5</v>
      </c>
    </row>
    <row r="114" spans="2:4" x14ac:dyDescent="0.25">
      <c r="B114" s="17" t="s">
        <v>1102</v>
      </c>
      <c r="C114" s="2" t="s">
        <v>18</v>
      </c>
      <c r="D114" s="16" t="s">
        <v>5</v>
      </c>
    </row>
    <row r="115" spans="2:4" x14ac:dyDescent="0.25">
      <c r="B115" s="17" t="s">
        <v>1103</v>
      </c>
      <c r="C115" s="2" t="s">
        <v>18</v>
      </c>
      <c r="D115" s="16" t="s">
        <v>5</v>
      </c>
    </row>
    <row r="116" spans="2:4" x14ac:dyDescent="0.25">
      <c r="B116" s="17" t="s">
        <v>1104</v>
      </c>
      <c r="C116" s="2" t="s">
        <v>18</v>
      </c>
      <c r="D116" s="16" t="s">
        <v>5</v>
      </c>
    </row>
    <row r="117" spans="2:4" x14ac:dyDescent="0.25">
      <c r="B117" s="17" t="s">
        <v>1455</v>
      </c>
      <c r="C117" s="2" t="s">
        <v>18</v>
      </c>
      <c r="D117" s="16" t="s">
        <v>5</v>
      </c>
    </row>
    <row r="118" spans="2:4" x14ac:dyDescent="0.25">
      <c r="B118" s="17" t="s">
        <v>1576</v>
      </c>
      <c r="C118" s="2" t="s">
        <v>4</v>
      </c>
      <c r="D118" s="16" t="s">
        <v>5</v>
      </c>
    </row>
    <row r="119" spans="2:4" x14ac:dyDescent="0.25">
      <c r="B119" s="17" t="s">
        <v>44</v>
      </c>
      <c r="C119" s="2" t="s">
        <v>18</v>
      </c>
      <c r="D119" s="16" t="s">
        <v>5</v>
      </c>
    </row>
    <row r="120" spans="2:4" x14ac:dyDescent="0.25">
      <c r="B120" s="17" t="s">
        <v>45</v>
      </c>
      <c r="C120" s="2" t="s">
        <v>18</v>
      </c>
      <c r="D120" s="16" t="s">
        <v>5</v>
      </c>
    </row>
    <row r="121" spans="2:4" x14ac:dyDescent="0.25">
      <c r="B121" s="17" t="s">
        <v>46</v>
      </c>
      <c r="C121" s="2" t="s">
        <v>18</v>
      </c>
      <c r="D121" s="16" t="s">
        <v>5</v>
      </c>
    </row>
    <row r="122" spans="2:4" x14ac:dyDescent="0.25">
      <c r="B122" s="17" t="s">
        <v>47</v>
      </c>
      <c r="C122" s="2" t="s">
        <v>18</v>
      </c>
      <c r="D122" s="16" t="s">
        <v>5</v>
      </c>
    </row>
    <row r="123" spans="2:4" x14ac:dyDescent="0.25">
      <c r="B123" s="17" t="s">
        <v>48</v>
      </c>
      <c r="C123" s="2" t="s">
        <v>18</v>
      </c>
      <c r="D123" s="16" t="s">
        <v>5</v>
      </c>
    </row>
    <row r="124" spans="2:4" x14ac:dyDescent="0.25">
      <c r="B124" s="17" t="s">
        <v>49</v>
      </c>
      <c r="C124" s="2" t="s">
        <v>18</v>
      </c>
      <c r="D124" s="16" t="s">
        <v>5</v>
      </c>
    </row>
    <row r="125" spans="2:4" x14ac:dyDescent="0.25">
      <c r="B125" s="17" t="s">
        <v>50</v>
      </c>
      <c r="C125" s="2" t="s">
        <v>18</v>
      </c>
      <c r="D125" s="16" t="s">
        <v>5</v>
      </c>
    </row>
    <row r="126" spans="2:4" x14ac:dyDescent="0.25">
      <c r="B126" s="17" t="s">
        <v>52</v>
      </c>
      <c r="C126" s="2" t="s">
        <v>18</v>
      </c>
      <c r="D126" s="16" t="s">
        <v>5</v>
      </c>
    </row>
    <row r="127" spans="2:4" x14ac:dyDescent="0.25">
      <c r="B127" s="17" t="s">
        <v>54</v>
      </c>
      <c r="C127" s="2" t="s">
        <v>18</v>
      </c>
      <c r="D127" s="16" t="s">
        <v>5</v>
      </c>
    </row>
    <row r="128" spans="2:4" x14ac:dyDescent="0.25">
      <c r="B128" s="17" t="s">
        <v>56</v>
      </c>
      <c r="C128" s="2" t="s">
        <v>18</v>
      </c>
      <c r="D128" s="16" t="s">
        <v>5</v>
      </c>
    </row>
    <row r="129" spans="2:4" x14ac:dyDescent="0.25">
      <c r="B129" s="17" t="s">
        <v>1111</v>
      </c>
      <c r="C129" s="2" t="s">
        <v>96</v>
      </c>
      <c r="D129" s="16" t="s">
        <v>1425</v>
      </c>
    </row>
    <row r="130" spans="2:4" x14ac:dyDescent="0.25">
      <c r="B130" s="17" t="s">
        <v>1113</v>
      </c>
      <c r="C130" s="2" t="s">
        <v>96</v>
      </c>
      <c r="D130" s="16" t="s">
        <v>1426</v>
      </c>
    </row>
    <row r="131" spans="2:4" x14ac:dyDescent="0.25">
      <c r="B131" s="17" t="s">
        <v>1485</v>
      </c>
      <c r="C131" s="2" t="s">
        <v>96</v>
      </c>
      <c r="D131" s="16" t="s">
        <v>1492</v>
      </c>
    </row>
    <row r="132" spans="2:4" x14ac:dyDescent="0.25">
      <c r="B132" s="17" t="s">
        <v>1484</v>
      </c>
      <c r="C132" s="2" t="s">
        <v>96</v>
      </c>
      <c r="D132" s="16" t="s">
        <v>1493</v>
      </c>
    </row>
    <row r="133" spans="2:4" x14ac:dyDescent="0.25">
      <c r="B133" s="17" t="s">
        <v>1490</v>
      </c>
      <c r="C133" s="2" t="s">
        <v>96</v>
      </c>
      <c r="D133" s="16" t="s">
        <v>1494</v>
      </c>
    </row>
    <row r="134" spans="2:4" x14ac:dyDescent="0.25">
      <c r="B134" s="17" t="s">
        <v>1491</v>
      </c>
      <c r="C134" s="2" t="s">
        <v>96</v>
      </c>
      <c r="D134" s="16" t="s">
        <v>1495</v>
      </c>
    </row>
    <row r="135" spans="2:4" x14ac:dyDescent="0.25">
      <c r="B135" s="17" t="s">
        <v>950</v>
      </c>
      <c r="C135" s="2" t="s">
        <v>4</v>
      </c>
      <c r="D135" s="16" t="s">
        <v>96</v>
      </c>
    </row>
    <row r="136" spans="2:4" x14ac:dyDescent="0.25">
      <c r="B136" s="17" t="s">
        <v>951</v>
      </c>
      <c r="C136" s="2" t="s">
        <v>4</v>
      </c>
      <c r="D136" s="16" t="s">
        <v>96</v>
      </c>
    </row>
    <row r="137" spans="2:4" x14ac:dyDescent="0.25">
      <c r="B137" s="17" t="s">
        <v>1352</v>
      </c>
      <c r="C137" s="2" t="s">
        <v>4</v>
      </c>
      <c r="D137" s="16" t="s">
        <v>96</v>
      </c>
    </row>
    <row r="138" spans="2:4" x14ac:dyDescent="0.25">
      <c r="B138" s="17" t="s">
        <v>952</v>
      </c>
      <c r="C138" s="2" t="s">
        <v>4</v>
      </c>
      <c r="D138" s="16" t="s">
        <v>96</v>
      </c>
    </row>
    <row r="139" spans="2:4" x14ac:dyDescent="0.25">
      <c r="B139" s="17" t="s">
        <v>953</v>
      </c>
      <c r="C139" s="2" t="s">
        <v>4</v>
      </c>
      <c r="D139" s="16" t="s">
        <v>96</v>
      </c>
    </row>
    <row r="140" spans="2:4" x14ac:dyDescent="0.25">
      <c r="B140" s="17" t="s">
        <v>954</v>
      </c>
      <c r="C140" s="2" t="s">
        <v>4</v>
      </c>
      <c r="D140" s="16" t="s">
        <v>96</v>
      </c>
    </row>
    <row r="141" spans="2:4" x14ac:dyDescent="0.25">
      <c r="B141" s="17" t="s">
        <v>960</v>
      </c>
      <c r="C141" s="2" t="s">
        <v>4</v>
      </c>
      <c r="D141" s="16" t="s">
        <v>96</v>
      </c>
    </row>
    <row r="142" spans="2:4" x14ac:dyDescent="0.25">
      <c r="B142" s="17" t="s">
        <v>1122</v>
      </c>
      <c r="C142" s="2" t="s">
        <v>4</v>
      </c>
      <c r="D142" s="16" t="s">
        <v>96</v>
      </c>
    </row>
    <row r="143" spans="2:4" x14ac:dyDescent="0.25">
      <c r="B143" s="17" t="s">
        <v>962</v>
      </c>
      <c r="C143" s="2" t="s">
        <v>4</v>
      </c>
      <c r="D143" s="16" t="s">
        <v>96</v>
      </c>
    </row>
    <row r="144" spans="2:4" x14ac:dyDescent="0.25">
      <c r="B144" s="17" t="s">
        <v>964</v>
      </c>
      <c r="C144" s="2" t="s">
        <v>4</v>
      </c>
      <c r="D144" s="16" t="s">
        <v>96</v>
      </c>
    </row>
    <row r="145" spans="2:4" x14ac:dyDescent="0.25">
      <c r="B145" s="17" t="s">
        <v>10</v>
      </c>
      <c r="C145" s="2" t="s">
        <v>4</v>
      </c>
      <c r="D145" s="16" t="s">
        <v>96</v>
      </c>
    </row>
    <row r="146" spans="2:4" x14ac:dyDescent="0.25">
      <c r="B146" s="17" t="s">
        <v>967</v>
      </c>
      <c r="C146" s="2" t="s">
        <v>4</v>
      </c>
      <c r="D146" s="16" t="s">
        <v>96</v>
      </c>
    </row>
    <row r="147" spans="2:4" x14ac:dyDescent="0.25">
      <c r="B147" s="17" t="s">
        <v>968</v>
      </c>
      <c r="C147" s="2" t="s">
        <v>4</v>
      </c>
      <c r="D147" s="16" t="s">
        <v>96</v>
      </c>
    </row>
    <row r="148" spans="2:4" x14ac:dyDescent="0.25">
      <c r="B148" s="17" t="s">
        <v>969</v>
      </c>
      <c r="C148" s="2" t="s">
        <v>4</v>
      </c>
      <c r="D148" s="16" t="s">
        <v>96</v>
      </c>
    </row>
    <row r="149" spans="2:4" x14ac:dyDescent="0.25">
      <c r="B149" s="17" t="s">
        <v>1124</v>
      </c>
      <c r="C149" s="2" t="s">
        <v>4</v>
      </c>
      <c r="D149" s="16" t="s">
        <v>96</v>
      </c>
    </row>
    <row r="150" spans="2:4" x14ac:dyDescent="0.25">
      <c r="B150" s="17" t="s">
        <v>430</v>
      </c>
      <c r="C150" s="2" t="s">
        <v>4</v>
      </c>
      <c r="D150" s="16" t="s">
        <v>96</v>
      </c>
    </row>
    <row r="151" spans="2:4" x14ac:dyDescent="0.25">
      <c r="B151" s="17" t="s">
        <v>431</v>
      </c>
      <c r="C151" s="2" t="s">
        <v>4</v>
      </c>
      <c r="D151" s="16" t="s">
        <v>96</v>
      </c>
    </row>
    <row r="152" spans="2:4" x14ac:dyDescent="0.25">
      <c r="B152" s="17" t="s">
        <v>11</v>
      </c>
      <c r="C152" s="2" t="s">
        <v>4</v>
      </c>
      <c r="D152" s="16" t="s">
        <v>96</v>
      </c>
    </row>
    <row r="153" spans="2:4" x14ac:dyDescent="0.25">
      <c r="B153" s="17" t="s">
        <v>432</v>
      </c>
      <c r="C153" s="2" t="s">
        <v>4</v>
      </c>
      <c r="D153" s="16" t="s">
        <v>96</v>
      </c>
    </row>
    <row r="154" spans="2:4" x14ac:dyDescent="0.25">
      <c r="B154" s="17" t="s">
        <v>12</v>
      </c>
      <c r="C154" s="2" t="s">
        <v>4</v>
      </c>
      <c r="D154" s="16" t="s">
        <v>96</v>
      </c>
    </row>
    <row r="155" spans="2:4" x14ac:dyDescent="0.25">
      <c r="B155" s="17" t="s">
        <v>1357</v>
      </c>
      <c r="C155" s="2" t="s">
        <v>4</v>
      </c>
      <c r="D155" s="16" t="s">
        <v>96</v>
      </c>
    </row>
    <row r="156" spans="2:4" x14ac:dyDescent="0.25">
      <c r="B156" s="17" t="s">
        <v>973</v>
      </c>
      <c r="C156" s="2" t="s">
        <v>4</v>
      </c>
      <c r="D156" s="16" t="s">
        <v>96</v>
      </c>
    </row>
    <row r="157" spans="2:4" x14ac:dyDescent="0.25">
      <c r="B157" s="17" t="s">
        <v>1358</v>
      </c>
      <c r="C157" s="2" t="s">
        <v>4</v>
      </c>
      <c r="D157" s="16" t="s">
        <v>96</v>
      </c>
    </row>
    <row r="158" spans="2:4" x14ac:dyDescent="0.25">
      <c r="B158" s="17" t="s">
        <v>1364</v>
      </c>
      <c r="C158" s="2" t="s">
        <v>4</v>
      </c>
      <c r="D158" s="16" t="s">
        <v>96</v>
      </c>
    </row>
    <row r="159" spans="2:4" x14ac:dyDescent="0.25">
      <c r="B159" s="17" t="s">
        <v>1365</v>
      </c>
      <c r="C159" s="2" t="s">
        <v>4</v>
      </c>
      <c r="D159" s="16" t="s">
        <v>96</v>
      </c>
    </row>
    <row r="160" spans="2:4" x14ac:dyDescent="0.25">
      <c r="B160" s="17" t="s">
        <v>434</v>
      </c>
      <c r="C160" s="2" t="s">
        <v>4</v>
      </c>
      <c r="D160" s="16" t="s">
        <v>96</v>
      </c>
    </row>
    <row r="161" spans="2:4" x14ac:dyDescent="0.25">
      <c r="B161" s="17" t="s">
        <v>986</v>
      </c>
      <c r="C161" s="2" t="s">
        <v>4</v>
      </c>
      <c r="D161" s="16" t="s">
        <v>96</v>
      </c>
    </row>
    <row r="162" spans="2:4" x14ac:dyDescent="0.25">
      <c r="B162" s="17" t="s">
        <v>1366</v>
      </c>
      <c r="C162" s="2" t="s">
        <v>4</v>
      </c>
      <c r="D162" s="16" t="s">
        <v>96</v>
      </c>
    </row>
    <row r="163" spans="2:4" x14ac:dyDescent="0.25">
      <c r="B163" s="17" t="s">
        <v>987</v>
      </c>
      <c r="C163" s="2" t="s">
        <v>4</v>
      </c>
      <c r="D163" s="16" t="s">
        <v>96</v>
      </c>
    </row>
    <row r="164" spans="2:4" x14ac:dyDescent="0.25">
      <c r="B164" s="17" t="s">
        <v>988</v>
      </c>
      <c r="C164" s="2" t="s">
        <v>4</v>
      </c>
      <c r="D164" s="16" t="s">
        <v>96</v>
      </c>
    </row>
    <row r="165" spans="2:4" x14ac:dyDescent="0.25">
      <c r="B165" s="17" t="s">
        <v>1130</v>
      </c>
      <c r="C165" s="2" t="s">
        <v>4</v>
      </c>
      <c r="D165" s="16" t="s">
        <v>96</v>
      </c>
    </row>
    <row r="166" spans="2:4" x14ac:dyDescent="0.25">
      <c r="B166" s="17" t="s">
        <v>1367</v>
      </c>
      <c r="C166" s="2" t="s">
        <v>4</v>
      </c>
      <c r="D166" s="16" t="s">
        <v>96</v>
      </c>
    </row>
    <row r="167" spans="2:4" x14ac:dyDescent="0.25">
      <c r="B167" s="17" t="s">
        <v>1131</v>
      </c>
      <c r="C167" s="2" t="s">
        <v>4</v>
      </c>
      <c r="D167" s="16" t="s">
        <v>96</v>
      </c>
    </row>
    <row r="168" spans="2:4" x14ac:dyDescent="0.25">
      <c r="B168" s="17" t="s">
        <v>995</v>
      </c>
      <c r="C168" s="2" t="s">
        <v>4</v>
      </c>
      <c r="D168" s="16" t="s">
        <v>96</v>
      </c>
    </row>
    <row r="169" spans="2:4" x14ac:dyDescent="0.25">
      <c r="B169" s="17" t="s">
        <v>996</v>
      </c>
      <c r="C169" s="2" t="s">
        <v>4</v>
      </c>
      <c r="D169" s="16" t="s">
        <v>96</v>
      </c>
    </row>
    <row r="170" spans="2:4" x14ac:dyDescent="0.25">
      <c r="B170" s="17" t="s">
        <v>997</v>
      </c>
      <c r="C170" s="2" t="s">
        <v>4</v>
      </c>
      <c r="D170" s="16" t="s">
        <v>96</v>
      </c>
    </row>
    <row r="171" spans="2:4" x14ac:dyDescent="0.25">
      <c r="B171" s="17" t="s">
        <v>1369</v>
      </c>
      <c r="C171" s="2" t="s">
        <v>4</v>
      </c>
      <c r="D171" s="16" t="s">
        <v>96</v>
      </c>
    </row>
    <row r="172" spans="2:4" x14ac:dyDescent="0.25">
      <c r="B172" s="17" t="s">
        <v>998</v>
      </c>
      <c r="C172" s="2" t="s">
        <v>4</v>
      </c>
      <c r="D172" s="16" t="s">
        <v>96</v>
      </c>
    </row>
    <row r="173" spans="2:4" x14ac:dyDescent="0.25">
      <c r="B173" s="17" t="s">
        <v>436</v>
      </c>
      <c r="C173" s="2" t="s">
        <v>4</v>
      </c>
      <c r="D173" s="16" t="s">
        <v>96</v>
      </c>
    </row>
    <row r="174" spans="2:4" x14ac:dyDescent="0.25">
      <c r="B174" s="17" t="s">
        <v>15</v>
      </c>
      <c r="C174" s="2" t="s">
        <v>4</v>
      </c>
      <c r="D174" s="16" t="s">
        <v>96</v>
      </c>
    </row>
    <row r="175" spans="2:4" x14ac:dyDescent="0.25">
      <c r="B175" s="17" t="s">
        <v>1372</v>
      </c>
      <c r="C175" s="2" t="s">
        <v>4</v>
      </c>
      <c r="D175" s="16" t="s">
        <v>96</v>
      </c>
    </row>
    <row r="176" spans="2:4" x14ac:dyDescent="0.25">
      <c r="B176" s="17" t="s">
        <v>16</v>
      </c>
      <c r="C176" s="2" t="s">
        <v>4</v>
      </c>
      <c r="D176" s="16" t="s">
        <v>96</v>
      </c>
    </row>
    <row r="177" spans="2:4" x14ac:dyDescent="0.25">
      <c r="B177" s="17" t="s">
        <v>1002</v>
      </c>
      <c r="C177" s="2" t="s">
        <v>4</v>
      </c>
      <c r="D177" s="16" t="s">
        <v>96</v>
      </c>
    </row>
    <row r="178" spans="2:4" x14ac:dyDescent="0.25">
      <c r="B178" s="17" t="s">
        <v>1003</v>
      </c>
      <c r="C178" s="2" t="s">
        <v>4</v>
      </c>
      <c r="D178" s="16" t="s">
        <v>96</v>
      </c>
    </row>
    <row r="179" spans="2:4" x14ac:dyDescent="0.25">
      <c r="B179" s="17" t="s">
        <v>1375</v>
      </c>
      <c r="C179" s="2" t="s">
        <v>4</v>
      </c>
      <c r="D179" s="16" t="s">
        <v>96</v>
      </c>
    </row>
    <row r="180" spans="2:4" x14ac:dyDescent="0.25">
      <c r="B180" s="17" t="s">
        <v>437</v>
      </c>
      <c r="C180" s="2" t="s">
        <v>4</v>
      </c>
      <c r="D180" s="16" t="s">
        <v>96</v>
      </c>
    </row>
    <row r="181" spans="2:4" x14ac:dyDescent="0.25">
      <c r="B181" s="17" t="s">
        <v>438</v>
      </c>
      <c r="C181" s="2" t="s">
        <v>4</v>
      </c>
      <c r="D181" s="16" t="s">
        <v>96</v>
      </c>
    </row>
    <row r="182" spans="2:4" x14ac:dyDescent="0.25">
      <c r="B182" s="17" t="s">
        <v>1136</v>
      </c>
      <c r="C182" s="2" t="s">
        <v>4</v>
      </c>
      <c r="D182" s="16" t="s">
        <v>96</v>
      </c>
    </row>
    <row r="183" spans="2:4" x14ac:dyDescent="0.25">
      <c r="B183" s="17" t="s">
        <v>1377</v>
      </c>
      <c r="C183" s="2" t="s">
        <v>4</v>
      </c>
      <c r="D183" s="16" t="s">
        <v>96</v>
      </c>
    </row>
    <row r="184" spans="2:4" x14ac:dyDescent="0.25">
      <c r="B184" s="17" t="s">
        <v>1380</v>
      </c>
      <c r="C184" s="2" t="s">
        <v>4</v>
      </c>
      <c r="D184" s="16" t="s">
        <v>96</v>
      </c>
    </row>
    <row r="185" spans="2:4" x14ac:dyDescent="0.25">
      <c r="B185" s="17" t="s">
        <v>1034</v>
      </c>
      <c r="C185" s="2" t="s">
        <v>4</v>
      </c>
      <c r="D185" s="16" t="s">
        <v>96</v>
      </c>
    </row>
    <row r="186" spans="2:4" x14ac:dyDescent="0.25">
      <c r="B186" s="17" t="s">
        <v>1035</v>
      </c>
      <c r="C186" s="2" t="s">
        <v>4</v>
      </c>
      <c r="D186" s="16" t="s">
        <v>96</v>
      </c>
    </row>
    <row r="187" spans="2:4" x14ac:dyDescent="0.25">
      <c r="B187" s="17" t="s">
        <v>1036</v>
      </c>
      <c r="C187" s="2" t="s">
        <v>4</v>
      </c>
      <c r="D187" s="16" t="s">
        <v>96</v>
      </c>
    </row>
    <row r="188" spans="2:4" x14ac:dyDescent="0.25">
      <c r="B188" s="17" t="s">
        <v>1038</v>
      </c>
      <c r="C188" s="2" t="s">
        <v>4</v>
      </c>
      <c r="D188" s="16" t="s">
        <v>96</v>
      </c>
    </row>
    <row r="189" spans="2:4" x14ac:dyDescent="0.25">
      <c r="B189" s="17" t="s">
        <v>1381</v>
      </c>
      <c r="C189" s="2" t="s">
        <v>4</v>
      </c>
      <c r="D189" s="16" t="s">
        <v>96</v>
      </c>
    </row>
    <row r="190" spans="2:4" x14ac:dyDescent="0.25">
      <c r="B190" s="17" t="s">
        <v>1041</v>
      </c>
      <c r="C190" s="2" t="s">
        <v>4</v>
      </c>
      <c r="D190" s="16" t="s">
        <v>96</v>
      </c>
    </row>
    <row r="191" spans="2:4" x14ac:dyDescent="0.25">
      <c r="B191" s="17" t="s">
        <v>1042</v>
      </c>
      <c r="C191" s="2" t="s">
        <v>4</v>
      </c>
      <c r="D191" s="16" t="s">
        <v>96</v>
      </c>
    </row>
    <row r="192" spans="2:4" x14ac:dyDescent="0.25">
      <c r="B192" s="17" t="s">
        <v>14</v>
      </c>
      <c r="C192" s="2" t="s">
        <v>4</v>
      </c>
      <c r="D192" s="16" t="s">
        <v>96</v>
      </c>
    </row>
    <row r="193" spans="2:4" x14ac:dyDescent="0.25">
      <c r="B193" s="17" t="s">
        <v>13</v>
      </c>
      <c r="C193" s="2" t="s">
        <v>4</v>
      </c>
      <c r="D193" s="16" t="s">
        <v>96</v>
      </c>
    </row>
    <row r="194" spans="2:4" x14ac:dyDescent="0.25">
      <c r="B194" s="17" t="s">
        <v>1209</v>
      </c>
      <c r="C194" s="2" t="s">
        <v>4</v>
      </c>
      <c r="D194" s="16" t="s">
        <v>96</v>
      </c>
    </row>
    <row r="195" spans="2:4" x14ac:dyDescent="0.25">
      <c r="B195" s="17" t="s">
        <v>433</v>
      </c>
      <c r="C195" s="2" t="s">
        <v>4</v>
      </c>
      <c r="D195" s="16" t="s">
        <v>96</v>
      </c>
    </row>
    <row r="196" spans="2:4" x14ac:dyDescent="0.25">
      <c r="B196" s="17" t="s">
        <v>1214</v>
      </c>
      <c r="C196" s="2" t="s">
        <v>4</v>
      </c>
      <c r="D196" s="16" t="s">
        <v>96</v>
      </c>
    </row>
    <row r="197" spans="2:4" x14ac:dyDescent="0.25">
      <c r="B197" s="17" t="s">
        <v>1215</v>
      </c>
      <c r="C197" s="2" t="s">
        <v>4</v>
      </c>
      <c r="D197" s="16" t="s">
        <v>96</v>
      </c>
    </row>
    <row r="198" spans="2:4" x14ac:dyDescent="0.25">
      <c r="B198" s="17" t="s">
        <v>1216</v>
      </c>
      <c r="C198" s="2" t="s">
        <v>4</v>
      </c>
      <c r="D198" s="16" t="s">
        <v>96</v>
      </c>
    </row>
    <row r="199" spans="2:4" x14ac:dyDescent="0.25">
      <c r="B199" s="17" t="s">
        <v>1587</v>
      </c>
      <c r="C199" s="2" t="s">
        <v>4</v>
      </c>
      <c r="D199" s="16" t="s">
        <v>5</v>
      </c>
    </row>
    <row r="200" spans="2:4" x14ac:dyDescent="0.25">
      <c r="B200" s="17" t="s">
        <v>1588</v>
      </c>
      <c r="C200" s="2" t="s">
        <v>4</v>
      </c>
      <c r="D200" s="16" t="s">
        <v>5</v>
      </c>
    </row>
    <row r="201" spans="2:4" x14ac:dyDescent="0.25">
      <c r="B201" s="17" t="s">
        <v>1589</v>
      </c>
      <c r="C201" s="2" t="s">
        <v>4</v>
      </c>
      <c r="D201" s="16" t="s">
        <v>5</v>
      </c>
    </row>
    <row r="202" spans="2:4" x14ac:dyDescent="0.25">
      <c r="B202" s="17" t="s">
        <v>1590</v>
      </c>
      <c r="C202" s="2" t="s">
        <v>4</v>
      </c>
      <c r="D202" s="16" t="s">
        <v>5</v>
      </c>
    </row>
    <row r="203" spans="2:4" x14ac:dyDescent="0.25">
      <c r="B203" s="17" t="s">
        <v>1591</v>
      </c>
      <c r="C203" s="2" t="s">
        <v>4</v>
      </c>
      <c r="D203" s="16" t="s">
        <v>5</v>
      </c>
    </row>
    <row r="204" spans="2:4" x14ac:dyDescent="0.25">
      <c r="B204" s="17" t="s">
        <v>1592</v>
      </c>
      <c r="C204" s="2" t="s">
        <v>4</v>
      </c>
      <c r="D204" s="16" t="s">
        <v>5</v>
      </c>
    </row>
    <row r="205" spans="2:4" x14ac:dyDescent="0.25">
      <c r="B205" s="17" t="s">
        <v>1593</v>
      </c>
      <c r="C205" s="2" t="s">
        <v>4</v>
      </c>
      <c r="D205" s="16" t="s">
        <v>5</v>
      </c>
    </row>
    <row r="206" spans="2:4" x14ac:dyDescent="0.25">
      <c r="B206" s="17" t="s">
        <v>1594</v>
      </c>
      <c r="C206" s="2" t="s">
        <v>4</v>
      </c>
      <c r="D206" s="16" t="s">
        <v>5</v>
      </c>
    </row>
    <row r="207" spans="2:4" x14ac:dyDescent="0.25">
      <c r="B207" s="17" t="s">
        <v>1595</v>
      </c>
      <c r="C207" s="2" t="s">
        <v>4</v>
      </c>
      <c r="D207" s="16" t="s">
        <v>5</v>
      </c>
    </row>
    <row r="208" spans="2:4" x14ac:dyDescent="0.25">
      <c r="B208" s="17" t="s">
        <v>1603</v>
      </c>
      <c r="C208" s="2" t="s">
        <v>4</v>
      </c>
      <c r="D208" s="16" t="s">
        <v>5</v>
      </c>
    </row>
    <row r="209" spans="2:4" x14ac:dyDescent="0.25">
      <c r="B209" s="17" t="s">
        <v>1596</v>
      </c>
      <c r="C209" s="2" t="s">
        <v>4</v>
      </c>
      <c r="D209" s="16" t="s">
        <v>5</v>
      </c>
    </row>
    <row r="210" spans="2:4" x14ac:dyDescent="0.25">
      <c r="B210" t="s">
        <v>1710</v>
      </c>
      <c r="C210" s="2" t="s">
        <v>4</v>
      </c>
      <c r="D210" s="16" t="s">
        <v>5</v>
      </c>
    </row>
    <row r="211" spans="2:4" x14ac:dyDescent="0.25">
      <c r="B211" t="s">
        <v>1711</v>
      </c>
      <c r="C211" s="2" t="s">
        <v>4</v>
      </c>
      <c r="D211" s="16" t="s">
        <v>5</v>
      </c>
    </row>
    <row r="212" spans="2:4" x14ac:dyDescent="0.25">
      <c r="B212" t="s">
        <v>1712</v>
      </c>
      <c r="C212" s="2" t="s">
        <v>4</v>
      </c>
      <c r="D212" s="16" t="s">
        <v>5</v>
      </c>
    </row>
    <row r="213" spans="2:4" x14ac:dyDescent="0.25">
      <c r="B213" s="17" t="s">
        <v>1672</v>
      </c>
      <c r="C213" s="2" t="s">
        <v>96</v>
      </c>
      <c r="D213" s="16" t="s">
        <v>96</v>
      </c>
    </row>
    <row r="214" spans="2:4" x14ac:dyDescent="0.25">
      <c r="B214" s="17" t="s">
        <v>1681</v>
      </c>
      <c r="C214" s="2" t="s">
        <v>96</v>
      </c>
      <c r="D214" s="16" t="s">
        <v>5</v>
      </c>
    </row>
    <row r="215" spans="2:4" x14ac:dyDescent="0.25">
      <c r="B215" s="17" t="s">
        <v>1682</v>
      </c>
      <c r="C215" s="2" t="s">
        <v>96</v>
      </c>
      <c r="D215" s="16" t="s">
        <v>5</v>
      </c>
    </row>
    <row r="216" spans="2:4" x14ac:dyDescent="0.25">
      <c r="B216" s="17" t="s">
        <v>1673</v>
      </c>
      <c r="C216" s="2" t="s">
        <v>96</v>
      </c>
      <c r="D216" s="16" t="s">
        <v>5</v>
      </c>
    </row>
    <row r="217" spans="2:4" x14ac:dyDescent="0.25">
      <c r="B217" s="17" t="s">
        <v>1674</v>
      </c>
      <c r="C217" s="2" t="s">
        <v>96</v>
      </c>
      <c r="D217" s="16" t="s">
        <v>96</v>
      </c>
    </row>
    <row r="218" spans="2:4" x14ac:dyDescent="0.25">
      <c r="B218" s="17" t="s">
        <v>1690</v>
      </c>
      <c r="C218" s="2" t="s">
        <v>4</v>
      </c>
      <c r="D218" s="16" t="s">
        <v>5</v>
      </c>
    </row>
    <row r="219" spans="2:4" x14ac:dyDescent="0.25">
      <c r="B219" s="17" t="s">
        <v>1677</v>
      </c>
      <c r="C219" s="2" t="s">
        <v>18</v>
      </c>
      <c r="D219" s="16" t="s">
        <v>5</v>
      </c>
    </row>
    <row r="220" spans="2:4" x14ac:dyDescent="0.25">
      <c r="B220" s="17" t="s">
        <v>1678</v>
      </c>
      <c r="C220" s="2" t="s">
        <v>18</v>
      </c>
      <c r="D220" s="16" t="s">
        <v>5</v>
      </c>
    </row>
    <row r="221" spans="2:4" x14ac:dyDescent="0.25">
      <c r="B221" s="17" t="s">
        <v>1703</v>
      </c>
      <c r="C221" s="2" t="s">
        <v>4</v>
      </c>
      <c r="D221" s="16" t="s">
        <v>5</v>
      </c>
    </row>
    <row r="222" spans="2:4" x14ac:dyDescent="0.25">
      <c r="B222" s="17" t="s">
        <v>1706</v>
      </c>
      <c r="C222" s="2" t="s">
        <v>4</v>
      </c>
      <c r="D222" s="16" t="s">
        <v>5</v>
      </c>
    </row>
    <row r="223" spans="2:4" x14ac:dyDescent="0.25">
      <c r="B223" s="17" t="s">
        <v>58</v>
      </c>
      <c r="C223" s="2" t="s">
        <v>4</v>
      </c>
      <c r="D223" s="16" t="s">
        <v>96</v>
      </c>
    </row>
    <row r="224" spans="2:4" x14ac:dyDescent="0.25">
      <c r="B224" s="17" t="s">
        <v>60</v>
      </c>
      <c r="C224" s="2" t="s">
        <v>4</v>
      </c>
      <c r="D224" s="16" t="s">
        <v>96</v>
      </c>
    </row>
    <row r="225" spans="2:4" x14ac:dyDescent="0.25">
      <c r="B225" s="17" t="s">
        <v>61</v>
      </c>
      <c r="C225" s="2" t="s">
        <v>4</v>
      </c>
      <c r="D225" s="16" t="s">
        <v>96</v>
      </c>
    </row>
    <row r="226" spans="2:4" x14ac:dyDescent="0.25">
      <c r="B226" s="17" t="s">
        <v>62</v>
      </c>
      <c r="C226" s="2" t="s">
        <v>4</v>
      </c>
      <c r="D226" s="16" t="s">
        <v>96</v>
      </c>
    </row>
    <row r="227" spans="2:4" x14ac:dyDescent="0.25">
      <c r="B227" s="17" t="s">
        <v>63</v>
      </c>
      <c r="C227" s="2" t="s">
        <v>4</v>
      </c>
      <c r="D227" s="16" t="s">
        <v>96</v>
      </c>
    </row>
    <row r="228" spans="2:4" x14ac:dyDescent="0.25">
      <c r="B228" s="17" t="s">
        <v>65</v>
      </c>
      <c r="C228" s="2" t="s">
        <v>4</v>
      </c>
      <c r="D228" s="16" t="s">
        <v>96</v>
      </c>
    </row>
    <row r="229" spans="2:4" x14ac:dyDescent="0.25">
      <c r="B229" s="17" t="s">
        <v>67</v>
      </c>
      <c r="C229" s="2" t="s">
        <v>4</v>
      </c>
      <c r="D229" s="16" t="s">
        <v>96</v>
      </c>
    </row>
    <row r="230" spans="2:4" x14ac:dyDescent="0.25">
      <c r="B230" s="17" t="s">
        <v>69</v>
      </c>
      <c r="C230" s="2" t="s">
        <v>4</v>
      </c>
      <c r="D230" s="16" t="s">
        <v>96</v>
      </c>
    </row>
    <row r="231" spans="2:4" x14ac:dyDescent="0.25">
      <c r="B231" s="17" t="s">
        <v>1105</v>
      </c>
      <c r="C231" s="2" t="s">
        <v>4</v>
      </c>
      <c r="D231" s="16" t="s">
        <v>5</v>
      </c>
    </row>
    <row r="232" spans="2:4" x14ac:dyDescent="0.25">
      <c r="B232" s="17" t="s">
        <v>1106</v>
      </c>
      <c r="C232" s="2" t="s">
        <v>4</v>
      </c>
      <c r="D232" s="16" t="s">
        <v>5</v>
      </c>
    </row>
    <row r="233" spans="2:4" x14ac:dyDescent="0.25">
      <c r="B233" s="17" t="s">
        <v>1107</v>
      </c>
      <c r="C233" s="2" t="s">
        <v>4</v>
      </c>
      <c r="D233" s="16" t="s">
        <v>5</v>
      </c>
    </row>
    <row r="234" spans="2:4" x14ac:dyDescent="0.25">
      <c r="B234" s="17" t="s">
        <v>1108</v>
      </c>
      <c r="C234" s="2" t="s">
        <v>4</v>
      </c>
      <c r="D234" s="16" t="s">
        <v>5</v>
      </c>
    </row>
    <row r="235" spans="2:4" x14ac:dyDescent="0.25">
      <c r="B235" s="17" t="s">
        <v>1109</v>
      </c>
      <c r="C235" s="2" t="s">
        <v>4</v>
      </c>
      <c r="D235" s="16" t="s">
        <v>5</v>
      </c>
    </row>
    <row r="236" spans="2:4" x14ac:dyDescent="0.25">
      <c r="B236" s="17" t="s">
        <v>1110</v>
      </c>
      <c r="C236" s="2" t="s">
        <v>18</v>
      </c>
      <c r="D236" s="16" t="s">
        <v>5</v>
      </c>
    </row>
    <row r="237" spans="2:4" x14ac:dyDescent="0.25">
      <c r="B237" s="17" t="s">
        <v>1112</v>
      </c>
      <c r="C237" s="2" t="s">
        <v>18</v>
      </c>
      <c r="D237" s="16" t="s">
        <v>5</v>
      </c>
    </row>
    <row r="238" spans="2:4" x14ac:dyDescent="0.25">
      <c r="B238" s="17" t="s">
        <v>1423</v>
      </c>
      <c r="C238" s="2" t="s">
        <v>18</v>
      </c>
      <c r="D238" s="16" t="s">
        <v>5</v>
      </c>
    </row>
    <row r="239" spans="2:4" x14ac:dyDescent="0.25">
      <c r="B239" s="17" t="s">
        <v>1499</v>
      </c>
      <c r="C239" s="2" t="s">
        <v>18</v>
      </c>
      <c r="D239" s="16" t="s">
        <v>5</v>
      </c>
    </row>
    <row r="240" spans="2:4" x14ac:dyDescent="0.25">
      <c r="B240" s="17" t="s">
        <v>1500</v>
      </c>
      <c r="C240" s="2" t="s">
        <v>18</v>
      </c>
      <c r="D240" s="16" t="s">
        <v>5</v>
      </c>
    </row>
    <row r="241" spans="2:4" x14ac:dyDescent="0.25">
      <c r="B241" s="17" t="s">
        <v>1501</v>
      </c>
      <c r="C241" s="2" t="s">
        <v>18</v>
      </c>
      <c r="D241" s="16" t="s">
        <v>5</v>
      </c>
    </row>
    <row r="242" spans="2:4" x14ac:dyDescent="0.25">
      <c r="B242" s="17" t="s">
        <v>1655</v>
      </c>
      <c r="C242" s="2" t="s">
        <v>18</v>
      </c>
      <c r="D242" s="16" t="s">
        <v>5</v>
      </c>
    </row>
    <row r="243" spans="2:4" x14ac:dyDescent="0.25">
      <c r="B243" s="17" t="s">
        <v>1656</v>
      </c>
      <c r="C243" s="2" t="s">
        <v>18</v>
      </c>
      <c r="D243" s="16" t="s">
        <v>5</v>
      </c>
    </row>
    <row r="244" spans="2:4" x14ac:dyDescent="0.25">
      <c r="B244" s="17" t="s">
        <v>1657</v>
      </c>
      <c r="C244" s="2" t="s">
        <v>18</v>
      </c>
      <c r="D244" s="16" t="s">
        <v>5</v>
      </c>
    </row>
    <row r="245" spans="2:4" x14ac:dyDescent="0.25">
      <c r="B245" s="17" t="s">
        <v>1658</v>
      </c>
      <c r="C245" s="2" t="s">
        <v>18</v>
      </c>
      <c r="D245" s="16" t="s">
        <v>5</v>
      </c>
    </row>
    <row r="246" spans="2:4" x14ac:dyDescent="0.25">
      <c r="B246" s="17" t="s">
        <v>1659</v>
      </c>
      <c r="C246" s="2" t="s">
        <v>18</v>
      </c>
      <c r="D246" s="16" t="s">
        <v>5</v>
      </c>
    </row>
    <row r="247" spans="2:4" x14ac:dyDescent="0.25">
      <c r="B247" s="17" t="s">
        <v>1660</v>
      </c>
      <c r="C247" s="2" t="s">
        <v>18</v>
      </c>
      <c r="D247" s="16" t="s">
        <v>5</v>
      </c>
    </row>
    <row r="248" spans="2:4" x14ac:dyDescent="0.25">
      <c r="B248" s="17" t="s">
        <v>1681</v>
      </c>
      <c r="C248" s="2" t="s">
        <v>4</v>
      </c>
      <c r="D248" s="16" t="s">
        <v>5</v>
      </c>
    </row>
    <row r="249" spans="2:4" x14ac:dyDescent="0.25">
      <c r="B249" s="17" t="s">
        <v>1682</v>
      </c>
      <c r="C249" s="2" t="s">
        <v>4</v>
      </c>
      <c r="D249" s="16" t="s">
        <v>5</v>
      </c>
    </row>
    <row r="250" spans="2:4" x14ac:dyDescent="0.25">
      <c r="B250" s="17" t="s">
        <v>1673</v>
      </c>
      <c r="C250" s="2" t="s">
        <v>4</v>
      </c>
      <c r="D250" s="16" t="s">
        <v>5</v>
      </c>
    </row>
    <row r="251" spans="2:4" x14ac:dyDescent="0.25">
      <c r="B251" s="17" t="s">
        <v>1679</v>
      </c>
      <c r="C251" s="2" t="s">
        <v>4</v>
      </c>
      <c r="D251" s="16" t="s">
        <v>5</v>
      </c>
    </row>
    <row r="252" spans="2:4" x14ac:dyDescent="0.25">
      <c r="B252" s="17" t="s">
        <v>1680</v>
      </c>
      <c r="C252" s="2" t="s">
        <v>4</v>
      </c>
      <c r="D252" s="16" t="s">
        <v>5</v>
      </c>
    </row>
    <row r="253" spans="2:4" x14ac:dyDescent="0.25">
      <c r="B253" s="17" t="s">
        <v>1032</v>
      </c>
      <c r="C253" s="2" t="s">
        <v>4</v>
      </c>
      <c r="D253" s="16" t="s">
        <v>96</v>
      </c>
    </row>
    <row r="254" spans="2:4" x14ac:dyDescent="0.25">
      <c r="B254" s="17" t="s">
        <v>1718</v>
      </c>
      <c r="C254" s="2" t="s">
        <v>96</v>
      </c>
      <c r="D254" s="2" t="s">
        <v>96</v>
      </c>
    </row>
    <row r="255" spans="2:4" x14ac:dyDescent="0.25">
      <c r="B255" s="17" t="s">
        <v>1719</v>
      </c>
      <c r="C255" s="2" t="s">
        <v>96</v>
      </c>
      <c r="D255" s="2" t="s">
        <v>96</v>
      </c>
    </row>
    <row r="256" spans="2:4" x14ac:dyDescent="0.25">
      <c r="B256" s="17" t="s">
        <v>1720</v>
      </c>
      <c r="C256" s="2" t="s">
        <v>96</v>
      </c>
      <c r="D256" s="2" t="s">
        <v>96</v>
      </c>
    </row>
    <row r="257" spans="2:4" x14ac:dyDescent="0.25">
      <c r="B257" s="17" t="s">
        <v>1721</v>
      </c>
      <c r="C257" s="2" t="s">
        <v>18</v>
      </c>
      <c r="D257" s="16" t="s">
        <v>5</v>
      </c>
    </row>
    <row r="258" spans="2:4" x14ac:dyDescent="0.25">
      <c r="B258" s="17" t="s">
        <v>1722</v>
      </c>
      <c r="C258" s="2" t="s">
        <v>18</v>
      </c>
      <c r="D258" s="16" t="s">
        <v>5</v>
      </c>
    </row>
    <row r="259" spans="2:4" x14ac:dyDescent="0.25">
      <c r="B259" s="17" t="s">
        <v>1723</v>
      </c>
      <c r="C259" s="2" t="s">
        <v>4</v>
      </c>
      <c r="D259" s="16" t="s">
        <v>5</v>
      </c>
    </row>
    <row r="260" spans="2:4" x14ac:dyDescent="0.25">
      <c r="B260" s="17" t="s">
        <v>1745</v>
      </c>
      <c r="C260" s="2" t="s">
        <v>4</v>
      </c>
      <c r="D260" s="16" t="s">
        <v>5</v>
      </c>
    </row>
    <row r="261" spans="2:4" x14ac:dyDescent="0.25">
      <c r="B261" s="17" t="s">
        <v>1725</v>
      </c>
      <c r="C261" s="2" t="s">
        <v>96</v>
      </c>
      <c r="D261" s="2" t="s">
        <v>96</v>
      </c>
    </row>
    <row r="262" spans="2:4" x14ac:dyDescent="0.25">
      <c r="B262" s="17" t="s">
        <v>1726</v>
      </c>
      <c r="C262" s="2" t="s">
        <v>18</v>
      </c>
      <c r="D262" s="16" t="s">
        <v>5</v>
      </c>
    </row>
    <row r="263" spans="2:4" x14ac:dyDescent="0.25">
      <c r="B263" t="s">
        <v>1067</v>
      </c>
      <c r="C263" s="2" t="s">
        <v>18</v>
      </c>
      <c r="D263" s="16" t="s">
        <v>5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B4:C836"/>
  <sheetViews>
    <sheetView topLeftCell="A4" workbookViewId="0">
      <selection activeCell="B566" sqref="B566"/>
    </sheetView>
  </sheetViews>
  <sheetFormatPr defaultRowHeight="15" x14ac:dyDescent="0.25"/>
  <cols>
    <col min="2" max="2" width="27.28515625" customWidth="1"/>
  </cols>
  <sheetData>
    <row r="4" spans="2:3" x14ac:dyDescent="0.25">
      <c r="B4" t="s">
        <v>97</v>
      </c>
      <c r="C4" t="str">
        <f>VLOOKUP(B4,'Dictionnaire des variables'!$B:$C,2,0)</f>
        <v>Code du département suivi du numéro de commune ou du numéro d'arrondissement municipal suivi du numéro d'IRIS</v>
      </c>
    </row>
    <row r="5" spans="2:3" x14ac:dyDescent="0.25">
      <c r="B5" t="s">
        <v>1512</v>
      </c>
      <c r="C5" t="e">
        <f>VLOOKUP(B5,'Dictionnaire des variables'!$B:$C,2,0)</f>
        <v>#N/A</v>
      </c>
    </row>
    <row r="6" spans="2:3" x14ac:dyDescent="0.25">
      <c r="B6" t="s">
        <v>1513</v>
      </c>
      <c r="C6" t="e">
        <f>VLOOKUP(B6,'Dictionnaire des variables'!$B:$C,2,0)</f>
        <v>#N/A</v>
      </c>
    </row>
    <row r="7" spans="2:3" x14ac:dyDescent="0.25">
      <c r="B7" t="s">
        <v>1514</v>
      </c>
      <c r="C7" t="e">
        <f>VLOOKUP(B7,'Dictionnaire des variables'!$B:$C,2,0)</f>
        <v>#N/A</v>
      </c>
    </row>
    <row r="8" spans="2:3" x14ac:dyDescent="0.25">
      <c r="B8" t="s">
        <v>1670</v>
      </c>
      <c r="C8" t="e">
        <f>VLOOKUP(B8,'Dictionnaire des variables'!$B:$C,2,0)</f>
        <v>#N/A</v>
      </c>
    </row>
    <row r="9" spans="2:3" hidden="1" x14ac:dyDescent="0.25">
      <c r="B9" t="s">
        <v>1587</v>
      </c>
      <c r="C9" t="str">
        <f>VLOOKUP(B9,'Dictionnaire des variables'!$B:$C,2,0)</f>
        <v>Chirurgiens dentistes (Indice APL)</v>
      </c>
    </row>
    <row r="10" spans="2:3" hidden="1" x14ac:dyDescent="0.25">
      <c r="B10" t="s">
        <v>1588</v>
      </c>
      <c r="C10" t="str">
        <f>VLOOKUP(B10,'Dictionnaire des variables'!$B:$C,2,0)</f>
        <v>Gynécologues libéraux (Indice APL)</v>
      </c>
    </row>
    <row r="11" spans="2:3" hidden="1" x14ac:dyDescent="0.25">
      <c r="B11" t="s">
        <v>1589</v>
      </c>
      <c r="C11" t="str">
        <f>VLOOKUP(B11,'Dictionnaire des variables'!$B:$C,2,0)</f>
        <v>Infirmiers libéraux (Indice APL)</v>
      </c>
    </row>
    <row r="12" spans="2:3" hidden="1" x14ac:dyDescent="0.25">
      <c r="B12" t="s">
        <v>1590</v>
      </c>
      <c r="C12" t="str">
        <f>VLOOKUP(B12,'Dictionnaire des variables'!$B:$C,2,0)</f>
        <v>Masseurs-kinésitherapeutes (Indice APL)</v>
      </c>
    </row>
    <row r="13" spans="2:3" hidden="1" x14ac:dyDescent="0.25">
      <c r="B13" t="s">
        <v>1591</v>
      </c>
      <c r="C13" t="str">
        <f>VLOOKUP(B13,'Dictionnaire des variables'!$B:$C,2,0)</f>
        <v>Médecins généralistes libéraux de moins de 40 ans (Indice APL)</v>
      </c>
    </row>
    <row r="14" spans="2:3" hidden="1" x14ac:dyDescent="0.25">
      <c r="B14" t="s">
        <v>1592</v>
      </c>
      <c r="C14" t="str">
        <f>VLOOKUP(B14,'Dictionnaire des variables'!$B:$C,2,0)</f>
        <v>Médecins généralistes libéraux (Indice APL)</v>
      </c>
    </row>
    <row r="15" spans="2:3" hidden="1" x14ac:dyDescent="0.25">
      <c r="B15" t="s">
        <v>1593</v>
      </c>
      <c r="C15" t="str">
        <f>VLOOKUP(B15,'Dictionnaire des variables'!$B:$C,2,0)</f>
        <v>Opthalmologistes libéraux (Indice APL)</v>
      </c>
    </row>
    <row r="16" spans="2:3" hidden="1" x14ac:dyDescent="0.25">
      <c r="B16" t="s">
        <v>1594</v>
      </c>
      <c r="C16" t="str">
        <f>VLOOKUP(B16,'Dictionnaire des variables'!$B:$C,2,0)</f>
        <v>Pédiatres libéraux (Indice APL)</v>
      </c>
    </row>
    <row r="17" spans="2:3" hidden="1" x14ac:dyDescent="0.25">
      <c r="B17" t="s">
        <v>1603</v>
      </c>
      <c r="C17" t="str">
        <f>VLOOKUP(B17,'Dictionnaire des variables'!$B:$C,2,0)</f>
        <v>Pharmaciens libéraux (Indice APL)</v>
      </c>
    </row>
    <row r="18" spans="2:3" hidden="1" x14ac:dyDescent="0.25">
      <c r="B18" t="s">
        <v>1595</v>
      </c>
      <c r="C18" t="str">
        <f>VLOOKUP(B18,'Dictionnaire des variables'!$B:$C,2,0)</f>
        <v>Psychiatres libéraux (Indice APL)</v>
      </c>
    </row>
    <row r="19" spans="2:3" hidden="1" x14ac:dyDescent="0.25">
      <c r="B19" t="s">
        <v>1596</v>
      </c>
      <c r="C19" t="str">
        <f>VLOOKUP(B19,'Dictionnaire des variables'!$B:$C,2,0)</f>
        <v>Sages-femmes libérales (Indice APL)</v>
      </c>
    </row>
    <row r="20" spans="2:3" hidden="1" x14ac:dyDescent="0.25">
      <c r="B20" t="s">
        <v>1464</v>
      </c>
      <c r="C20" t="str">
        <f>VLOOKUP(B20,'Dictionnaire des variables'!$B:$C,2,0)</f>
        <v>Tous secteurs confondus</v>
      </c>
    </row>
    <row r="21" spans="2:3" hidden="1" x14ac:dyDescent="0.25">
      <c r="B21" t="s">
        <v>1465</v>
      </c>
      <c r="C21" t="str">
        <f>VLOOKUP(B21,'Dictionnaire des variables'!$B:$C,2,0)</f>
        <v>Nombre entreprises : Agriculture, sylviculture, pêche</v>
      </c>
    </row>
    <row r="22" spans="2:3" hidden="1" x14ac:dyDescent="0.25">
      <c r="B22" t="s">
        <v>1466</v>
      </c>
      <c r="C22" t="str">
        <f>VLOOKUP(B22,'Dictionnaire des variables'!$B:$C,2,0)</f>
        <v>Nombre entreprises : Industrie</v>
      </c>
    </row>
    <row r="23" spans="2:3" hidden="1" x14ac:dyDescent="0.25">
      <c r="B23" t="s">
        <v>1467</v>
      </c>
      <c r="C23" t="str">
        <f>VLOOKUP(B23,'Dictionnaire des variables'!$B:$C,2,0)</f>
        <v>Nombre entreprises : Construction</v>
      </c>
    </row>
    <row r="24" spans="2:3" hidden="1" x14ac:dyDescent="0.25">
      <c r="B24" t="s">
        <v>1468</v>
      </c>
      <c r="C24" t="str">
        <f>VLOOKUP(B24,'Dictionnaire des variables'!$B:$C,2,0)</f>
        <v>Nombre entreprises : Commerce, transports et services divers</v>
      </c>
    </row>
    <row r="25" spans="2:3" hidden="1" x14ac:dyDescent="0.25">
      <c r="B25" t="s">
        <v>1469</v>
      </c>
      <c r="C25" t="str">
        <f>VLOOKUP(B25,'Dictionnaire des variables'!$B:$C,2,0)</f>
        <v>Nombre dentreprises : Administration publique, enseignement, santé et action sociale</v>
      </c>
    </row>
    <row r="26" spans="2:3" hidden="1" x14ac:dyDescent="0.25">
      <c r="B26" t="s">
        <v>1458</v>
      </c>
      <c r="C26" t="str">
        <f>VLOOKUP(B26,'Dictionnaire des variables'!$B:$C,2,0)</f>
        <v>Effectif salarié total</v>
      </c>
    </row>
    <row r="27" spans="2:3" hidden="1" x14ac:dyDescent="0.25">
      <c r="B27" t="s">
        <v>1459</v>
      </c>
      <c r="C27" t="str">
        <f>VLOOKUP(B27,'Dictionnaire des variables'!$B:$C,2,0)</f>
        <v>Effectif salarié : Agriculture, sylviculture, pêche</v>
      </c>
    </row>
    <row r="28" spans="2:3" hidden="1" x14ac:dyDescent="0.25">
      <c r="B28" t="s">
        <v>1460</v>
      </c>
      <c r="C28" t="str">
        <f>VLOOKUP(B28,'Dictionnaire des variables'!$B:$C,2,0)</f>
        <v>Effectif salarié : Industrie</v>
      </c>
    </row>
    <row r="29" spans="2:3" hidden="1" x14ac:dyDescent="0.25">
      <c r="B29" t="s">
        <v>1461</v>
      </c>
      <c r="C29" t="str">
        <f>VLOOKUP(B29,'Dictionnaire des variables'!$B:$C,2,0)</f>
        <v>Effectif salarié : Construction</v>
      </c>
    </row>
    <row r="30" spans="2:3" hidden="1" x14ac:dyDescent="0.25">
      <c r="B30" t="s">
        <v>1462</v>
      </c>
      <c r="C30" t="str">
        <f>VLOOKUP(B30,'Dictionnaire des variables'!$B:$C,2,0)</f>
        <v>Effectif salarié : Commerce, transports et services divers</v>
      </c>
    </row>
    <row r="31" spans="2:3" hidden="1" x14ac:dyDescent="0.25">
      <c r="B31" t="s">
        <v>1463</v>
      </c>
      <c r="C31" t="str">
        <f>VLOOKUP(B31,'Dictionnaire des variables'!$B:$C,2,0)</f>
        <v>Effectif salarié : Administration publique, enseignement, santé et action sociale</v>
      </c>
    </row>
    <row r="32" spans="2:3" hidden="1" x14ac:dyDescent="0.25">
      <c r="B32" t="s">
        <v>1100</v>
      </c>
      <c r="C32" t="str">
        <f>VLOOKUP(B32,'Dictionnaire des variables'!$B:$C,2,0)</f>
        <v>Revenu disponible médian (€ par an par UC)</v>
      </c>
    </row>
    <row r="33" spans="2:3" hidden="1" x14ac:dyDescent="0.25">
      <c r="B33" t="s">
        <v>1672</v>
      </c>
      <c r="C33" t="str">
        <f>VLOOKUP(B33,'Dictionnaire des variables'!$B:$C,2,0)</f>
        <v>Avancement des PPRI 2012</v>
      </c>
    </row>
    <row r="34" spans="2:3" hidden="1" x14ac:dyDescent="0.25">
      <c r="B34" t="s">
        <v>1681</v>
      </c>
      <c r="C34" t="str">
        <f>VLOOKUP(B34,'Dictionnaire des variables'!$B:$C,2,0)</f>
        <v>Coût moyen des sinistres inondation 1995-2010</v>
      </c>
    </row>
    <row r="35" spans="2:3" hidden="1" x14ac:dyDescent="0.25">
      <c r="B35" t="s">
        <v>1682</v>
      </c>
      <c r="C35" t="str">
        <f>VLOOKUP(B35,'Dictionnaire des variables'!$B:$C,2,0)</f>
        <v>Coût cumulé des sinistres inondation 1995-2010</v>
      </c>
    </row>
    <row r="36" spans="2:3" hidden="1" x14ac:dyDescent="0.25">
      <c r="B36" t="s">
        <v>1673</v>
      </c>
      <c r="C36" t="str">
        <f>VLOOKUP(B36,'Dictionnaire des variables'!$B:$C,2,0)</f>
        <v>Fréquence des sinistres inondation 1995-2010</v>
      </c>
    </row>
    <row r="37" spans="2:3" hidden="1" x14ac:dyDescent="0.25">
      <c r="B37" t="s">
        <v>1674</v>
      </c>
      <c r="C37" t="str">
        <f>VLOOKUP(B37,'Dictionnaire des variables'!$B:$C,2,0)</f>
        <v>Ratio moyen sinistre à prime 1995-2010</v>
      </c>
    </row>
    <row r="38" spans="2:3" hidden="1" x14ac:dyDescent="0.25">
      <c r="B38" t="s">
        <v>1490</v>
      </c>
      <c r="C38" t="str">
        <f>VLOOKUP(B38,'Dictionnaire des variables'!$B:$C,2,0)</f>
        <v>Régionales : Liste gagnante au second tour</v>
      </c>
    </row>
    <row r="39" spans="2:3" hidden="1" x14ac:dyDescent="0.25">
      <c r="B39" t="s">
        <v>1491</v>
      </c>
      <c r="C39" t="str">
        <f>VLOOKUP(B39,'Dictionnaire des variables'!$B:$C,2,0)</f>
        <v>Régionales : Liste en tête au premier tour</v>
      </c>
    </row>
    <row r="40" spans="2:3" x14ac:dyDescent="0.25">
      <c r="B40" t="s">
        <v>1718</v>
      </c>
      <c r="C40" t="s">
        <v>1727</v>
      </c>
    </row>
    <row r="41" spans="2:3" x14ac:dyDescent="0.25">
      <c r="B41" t="s">
        <v>1719</v>
      </c>
      <c r="C41" t="s">
        <v>1728</v>
      </c>
    </row>
    <row r="42" spans="2:3" x14ac:dyDescent="0.25">
      <c r="B42" t="s">
        <v>1720</v>
      </c>
      <c r="C42" t="s">
        <v>1729</v>
      </c>
    </row>
    <row r="43" spans="2:3" x14ac:dyDescent="0.25">
      <c r="B43" t="s">
        <v>1721</v>
      </c>
      <c r="C43" t="s">
        <v>1730</v>
      </c>
    </row>
    <row r="44" spans="2:3" x14ac:dyDescent="0.25">
      <c r="B44" t="s">
        <v>1722</v>
      </c>
      <c r="C44" t="s">
        <v>1731</v>
      </c>
    </row>
    <row r="45" spans="2:3" x14ac:dyDescent="0.25">
      <c r="B45" t="s">
        <v>1723</v>
      </c>
      <c r="C45" t="s">
        <v>1732</v>
      </c>
    </row>
    <row r="46" spans="2:3" x14ac:dyDescent="0.25">
      <c r="B46" t="s">
        <v>1724</v>
      </c>
      <c r="C46" t="s">
        <v>1733</v>
      </c>
    </row>
    <row r="47" spans="2:3" x14ac:dyDescent="0.25">
      <c r="B47" t="s">
        <v>1725</v>
      </c>
      <c r="C47" t="s">
        <v>1734</v>
      </c>
    </row>
    <row r="48" spans="2:3" x14ac:dyDescent="0.25">
      <c r="B48" t="s">
        <v>1675</v>
      </c>
      <c r="C48" t="e">
        <f>VLOOKUP(B48,'Dictionnaire des variables'!$B:$C,2,0)</f>
        <v>#N/A</v>
      </c>
    </row>
    <row r="49" spans="2:3" x14ac:dyDescent="0.25">
      <c r="B49" t="s">
        <v>1515</v>
      </c>
      <c r="C49" t="e">
        <f>VLOOKUP(B49,'Dictionnaire des variables'!$B:$C,2,0)</f>
        <v>#N/A</v>
      </c>
    </row>
    <row r="50" spans="2:3" hidden="1" x14ac:dyDescent="0.25">
      <c r="B50" t="s">
        <v>44</v>
      </c>
      <c r="C50" t="str">
        <f>VLOOKUP(B50,'Dictionnaire des variables'!$B:$C,2,0)</f>
        <v>Toutes technologies éligibles (Câble, DSL, Fibre) (Part des locaux)</v>
      </c>
    </row>
    <row r="51" spans="2:3" hidden="1" x14ac:dyDescent="0.25">
      <c r="B51" t="s">
        <v>45</v>
      </c>
      <c r="C51" t="str">
        <f>VLOOKUP(B51,'Dictionnaire des variables'!$B:$C,2,0)</f>
        <v>Toutes technologies (Câble, DSL, Fibre) 3 Mbits (Part des locaux)</v>
      </c>
    </row>
    <row r="52" spans="2:3" hidden="1" x14ac:dyDescent="0.25">
      <c r="B52" t="s">
        <v>46</v>
      </c>
      <c r="C52" t="str">
        <f>VLOOKUP(B52,'Dictionnaire des variables'!$B:$C,2,0)</f>
        <v>Toutes technologies (Câble, DSL, Fibre) 8 Mbits (Part des locaux)</v>
      </c>
    </row>
    <row r="53" spans="2:3" hidden="1" x14ac:dyDescent="0.25">
      <c r="B53" t="s">
        <v>47</v>
      </c>
      <c r="C53" t="str">
        <f>VLOOKUP(B53,'Dictionnaire des variables'!$B:$C,2,0)</f>
        <v>Toutes technologies (Câble, DSL, Fibre) 30 Mbits (Part des locaux)</v>
      </c>
    </row>
    <row r="54" spans="2:3" hidden="1" x14ac:dyDescent="0.25">
      <c r="B54" t="s">
        <v>48</v>
      </c>
      <c r="C54" t="str">
        <f>VLOOKUP(B54,'Dictionnaire des variables'!$B:$C,2,0)</f>
        <v>Toutes technologies (Câble, DSL, Fibre) 100 Mbits (Part des locaux)</v>
      </c>
    </row>
    <row r="55" spans="2:3" hidden="1" x14ac:dyDescent="0.25">
      <c r="B55" t="s">
        <v>463</v>
      </c>
      <c r="C55" t="str">
        <f>VLOOKUP(B55,'Dictionnaire des variables'!$B:$C,2,0)</f>
        <v>DSL éligibles</v>
      </c>
    </row>
    <row r="56" spans="2:3" hidden="1" x14ac:dyDescent="0.25">
      <c r="B56" t="s">
        <v>464</v>
      </c>
      <c r="C56" t="str">
        <f>VLOOKUP(B56,'Dictionnaire des variables'!$B:$C,2,0)</f>
        <v>DSL 3 Mbits</v>
      </c>
    </row>
    <row r="57" spans="2:3" hidden="1" x14ac:dyDescent="0.25">
      <c r="B57" t="s">
        <v>465</v>
      </c>
      <c r="C57" t="str">
        <f>VLOOKUP(B57,'Dictionnaire des variables'!$B:$C,2,0)</f>
        <v>DSL 8 Mbits</v>
      </c>
    </row>
    <row r="58" spans="2:3" hidden="1" x14ac:dyDescent="0.25">
      <c r="B58" t="s">
        <v>466</v>
      </c>
      <c r="C58" t="str">
        <f>VLOOKUP(B58,'Dictionnaire des variables'!$B:$C,2,0)</f>
        <v>DSL 30 Mbits</v>
      </c>
    </row>
    <row r="59" spans="2:3" hidden="1" x14ac:dyDescent="0.25">
      <c r="B59" t="s">
        <v>467</v>
      </c>
      <c r="C59" t="str">
        <f>VLOOKUP(B59,'Dictionnaire des variables'!$B:$C,2,0)</f>
        <v>DSL 100 Mbits</v>
      </c>
    </row>
    <row r="60" spans="2:3" hidden="1" x14ac:dyDescent="0.25">
      <c r="B60" t="s">
        <v>468</v>
      </c>
      <c r="C60" t="str">
        <f>VLOOKUP(B60,'Dictionnaire des variables'!$B:$C,2,0)</f>
        <v>Cable éligibles</v>
      </c>
    </row>
    <row r="61" spans="2:3" hidden="1" x14ac:dyDescent="0.25">
      <c r="B61" t="s">
        <v>469</v>
      </c>
      <c r="C61" t="str">
        <f>VLOOKUP(B61,'Dictionnaire des variables'!$B:$C,2,0)</f>
        <v>Cable 3 Mbits</v>
      </c>
    </row>
    <row r="62" spans="2:3" hidden="1" x14ac:dyDescent="0.25">
      <c r="B62" t="s">
        <v>470</v>
      </c>
      <c r="C62" t="str">
        <f>VLOOKUP(B62,'Dictionnaire des variables'!$B:$C,2,0)</f>
        <v>Cable 8 Mbits</v>
      </c>
    </row>
    <row r="63" spans="2:3" hidden="1" x14ac:dyDescent="0.25">
      <c r="B63" t="s">
        <v>471</v>
      </c>
      <c r="C63" t="str">
        <f>VLOOKUP(B63,'Dictionnaire des variables'!$B:$C,2,0)</f>
        <v>Cable 30 Mbits</v>
      </c>
    </row>
    <row r="64" spans="2:3" hidden="1" x14ac:dyDescent="0.25">
      <c r="B64" t="s">
        <v>472</v>
      </c>
      <c r="C64" t="str">
        <f>VLOOKUP(B64,'Dictionnaire des variables'!$B:$C,2,0)</f>
        <v>Cable 100 Mbits</v>
      </c>
    </row>
    <row r="65" spans="2:3" hidden="1" x14ac:dyDescent="0.25">
      <c r="B65" t="s">
        <v>49</v>
      </c>
      <c r="C65" t="str">
        <f>VLOOKUP(B65,'Dictionnaire des variables'!$B:$C,2,0)</f>
        <v>Part des locaux éligibles à la fibre</v>
      </c>
    </row>
    <row r="66" spans="2:3" hidden="1" x14ac:dyDescent="0.25">
      <c r="B66" t="s">
        <v>473</v>
      </c>
      <c r="C66" t="str">
        <f>VLOOKUP(B66,'Dictionnaire des variables'!$B:$C,2,0)</f>
        <v>Fibre 3 Mbits</v>
      </c>
    </row>
    <row r="67" spans="2:3" hidden="1" x14ac:dyDescent="0.25">
      <c r="B67" t="s">
        <v>474</v>
      </c>
      <c r="C67" t="str">
        <f>VLOOKUP(B67,'Dictionnaire des variables'!$B:$C,2,0)</f>
        <v>Fibre 8 Mbits</v>
      </c>
    </row>
    <row r="68" spans="2:3" hidden="1" x14ac:dyDescent="0.25">
      <c r="B68" t="s">
        <v>475</v>
      </c>
      <c r="C68" t="str">
        <f>VLOOKUP(B68,'Dictionnaire des variables'!$B:$C,2,0)</f>
        <v>Fibre 30 Mbits</v>
      </c>
    </row>
    <row r="69" spans="2:3" hidden="1" x14ac:dyDescent="0.25">
      <c r="B69" t="s">
        <v>476</v>
      </c>
      <c r="C69" t="str">
        <f>VLOOKUP(B69,'Dictionnaire des variables'!$B:$C,2,0)</f>
        <v>Fibre 100 Mbits</v>
      </c>
    </row>
    <row r="70" spans="2:3" x14ac:dyDescent="0.25">
      <c r="B70" t="s">
        <v>1516</v>
      </c>
      <c r="C70" t="e">
        <f>VLOOKUP(B70,'Dictionnaire des variables'!$B:$C,2,0)</f>
        <v>#N/A</v>
      </c>
    </row>
    <row r="71" spans="2:3" x14ac:dyDescent="0.25">
      <c r="B71" t="s">
        <v>1517</v>
      </c>
      <c r="C71" t="e">
        <f>VLOOKUP(B71,'Dictionnaire des variables'!$B:$C,2,0)</f>
        <v>#N/A</v>
      </c>
    </row>
    <row r="72" spans="2:3" x14ac:dyDescent="0.25">
      <c r="B72" t="s">
        <v>1676</v>
      </c>
      <c r="C72" t="e">
        <f>VLOOKUP(B72,'Dictionnaire des variables'!$B:$C,2,0)</f>
        <v>#N/A</v>
      </c>
    </row>
    <row r="73" spans="2:3" hidden="1" x14ac:dyDescent="0.25">
      <c r="B73" t="s">
        <v>50</v>
      </c>
      <c r="C73" t="str">
        <f>VLOOKUP(B73,'Dictionnaire des variables'!$B:$C,2,0)</f>
        <v>Couverture réseau 4G Bouygues Telecom</v>
      </c>
    </row>
    <row r="74" spans="2:3" hidden="1" x14ac:dyDescent="0.25">
      <c r="B74" t="s">
        <v>52</v>
      </c>
      <c r="C74" t="str">
        <f>VLOOKUP(B74,'Dictionnaire des variables'!$B:$C,2,0)</f>
        <v>Couverture réseau 4G Free Mobile</v>
      </c>
    </row>
    <row r="75" spans="2:3" hidden="1" x14ac:dyDescent="0.25">
      <c r="B75" t="s">
        <v>54</v>
      </c>
      <c r="C75" t="str">
        <f>VLOOKUP(B75,'Dictionnaire des variables'!$B:$C,2,0)</f>
        <v>Couverture réseau 4G Orange</v>
      </c>
    </row>
    <row r="76" spans="2:3" hidden="1" x14ac:dyDescent="0.25">
      <c r="B76" t="s">
        <v>56</v>
      </c>
      <c r="C76" t="str">
        <f>VLOOKUP(B76,'Dictionnaire des variables'!$B:$C,2,0)</f>
        <v>Couverture réseau 4G SFR</v>
      </c>
    </row>
    <row r="77" spans="2:3" hidden="1" x14ac:dyDescent="0.25">
      <c r="B77" t="s">
        <v>477</v>
      </c>
      <c r="C77" t="str">
        <f>VLOOKUP(B77,'Dictionnaire des variables'!$B:$C,2,0)</f>
        <v>3G Bouygues Telecom</v>
      </c>
    </row>
    <row r="78" spans="2:3" hidden="1" x14ac:dyDescent="0.25">
      <c r="B78" t="s">
        <v>478</v>
      </c>
      <c r="C78" t="str">
        <f>VLOOKUP(B78,'Dictionnaire des variables'!$B:$C,2,0)</f>
        <v>3G Free Mobile</v>
      </c>
    </row>
    <row r="79" spans="2:3" hidden="1" x14ac:dyDescent="0.25">
      <c r="B79" t="s">
        <v>479</v>
      </c>
      <c r="C79" t="str">
        <f>VLOOKUP(B79,'Dictionnaire des variables'!$B:$C,2,0)</f>
        <v>3G Orange</v>
      </c>
    </row>
    <row r="80" spans="2:3" hidden="1" x14ac:dyDescent="0.25">
      <c r="B80" t="s">
        <v>480</v>
      </c>
      <c r="C80" t="str">
        <f>VLOOKUP(B80,'Dictionnaire des variables'!$B:$C,2,0)</f>
        <v>3G SFR</v>
      </c>
    </row>
    <row r="81" spans="2:3" hidden="1" x14ac:dyDescent="0.25">
      <c r="B81" t="s">
        <v>481</v>
      </c>
      <c r="C81" t="str">
        <f>VLOOKUP(B81,'Dictionnaire des variables'!$B:$C,2,0)</f>
        <v>2G Bouygues Telecom</v>
      </c>
    </row>
    <row r="82" spans="2:3" hidden="1" x14ac:dyDescent="0.25">
      <c r="B82" t="s">
        <v>482</v>
      </c>
      <c r="C82" t="str">
        <f>VLOOKUP(B82,'Dictionnaire des variables'!$B:$C,2,0)</f>
        <v>2G Free Mobile</v>
      </c>
    </row>
    <row r="83" spans="2:3" hidden="1" x14ac:dyDescent="0.25">
      <c r="B83" t="s">
        <v>483</v>
      </c>
      <c r="C83" t="str">
        <f>VLOOKUP(B83,'Dictionnaire des variables'!$B:$C,2,0)</f>
        <v>2G Orange</v>
      </c>
    </row>
    <row r="84" spans="2:3" hidden="1" x14ac:dyDescent="0.25">
      <c r="B84" t="s">
        <v>484</v>
      </c>
      <c r="C84" t="str">
        <f>VLOOKUP(B84,'Dictionnaire des variables'!$B:$C,2,0)</f>
        <v>2G SFR</v>
      </c>
    </row>
    <row r="85" spans="2:3" hidden="1" x14ac:dyDescent="0.25">
      <c r="B85" t="s">
        <v>1622</v>
      </c>
      <c r="C85" t="str">
        <f>VLOOKUP(B85,'Dictionnaire des variables'!$B:$C,2,0)</f>
        <v>Nombre de personnes impliquées en 2014</v>
      </c>
    </row>
    <row r="86" spans="2:3" hidden="1" x14ac:dyDescent="0.25">
      <c r="B86" t="s">
        <v>1623</v>
      </c>
      <c r="C86" t="str">
        <f>VLOOKUP(B86,'Dictionnaire des variables'!$B:$C,2,0)</f>
        <v>Nombre de morts en 2014</v>
      </c>
    </row>
    <row r="87" spans="2:3" hidden="1" x14ac:dyDescent="0.25">
      <c r="B87" t="s">
        <v>1624</v>
      </c>
      <c r="C87" t="str">
        <f>VLOOKUP(B87,'Dictionnaire des variables'!$B:$C,2,0)</f>
        <v>Nombre de blessés graves en 2014</v>
      </c>
    </row>
    <row r="88" spans="2:3" hidden="1" x14ac:dyDescent="0.25">
      <c r="B88" t="s">
        <v>1625</v>
      </c>
      <c r="C88" t="str">
        <f>VLOOKUP(B88,'Dictionnaire des variables'!$B:$C,2,0)</f>
        <v>Nombre de blessés légers en 2014</v>
      </c>
    </row>
    <row r="89" spans="2:3" hidden="1" x14ac:dyDescent="0.25">
      <c r="B89" t="s">
        <v>1626</v>
      </c>
      <c r="C89" t="str">
        <f>VLOOKUP(B89,'Dictionnaire des variables'!$B:$C,2,0)</f>
        <v>Nombre indemnes en 2014</v>
      </c>
    </row>
    <row r="90" spans="2:3" hidden="1" x14ac:dyDescent="0.25">
      <c r="B90" t="s">
        <v>1627</v>
      </c>
      <c r="C90" t="str">
        <f>VLOOKUP(B90,'Dictionnaire des variables'!$B:$C,2,0)</f>
        <v>Indice de gravitié cumulée en 2014</v>
      </c>
    </row>
    <row r="91" spans="2:3" hidden="1" x14ac:dyDescent="0.25">
      <c r="B91" t="s">
        <v>1629</v>
      </c>
      <c r="C91" t="str">
        <f>VLOOKUP(B91,'Dictionnaire des variables'!$B:$C,2,0)</f>
        <v>Accidents de la route en 2014</v>
      </c>
    </row>
    <row r="92" spans="2:3" hidden="1" x14ac:dyDescent="0.25">
      <c r="B92" t="s">
        <v>1655</v>
      </c>
      <c r="C92" t="str">
        <f>VLOOKUP(B92,'Dictionnaire des variables'!$B:$C,2,0)</f>
        <v>Communes où les résidents sont scolarisés (% des personnes scolarisées résidentes)</v>
      </c>
    </row>
    <row r="93" spans="2:3" hidden="1" x14ac:dyDescent="0.25">
      <c r="B93" t="s">
        <v>1677</v>
      </c>
      <c r="C93" t="str">
        <f>VLOOKUP(B93,'Dictionnaire des variables'!$B:$C,2,0)</f>
        <v>% des personnes scolarisées qui sont scolarisées dans une autre commune</v>
      </c>
    </row>
    <row r="94" spans="2:3" hidden="1" x14ac:dyDescent="0.25">
      <c r="B94" t="s">
        <v>1656</v>
      </c>
      <c r="C94" t="str">
        <f>VLOOKUP(B94,'Dictionnaire des variables'!$B:$C,2,0)</f>
        <v>Communes où les résidents travaillent (% des actifs occupés résidents)</v>
      </c>
    </row>
    <row r="95" spans="2:3" x14ac:dyDescent="0.25">
      <c r="B95" t="s">
        <v>1726</v>
      </c>
      <c r="C95" s="4" t="s">
        <v>1736</v>
      </c>
    </row>
    <row r="96" spans="2:3" hidden="1" x14ac:dyDescent="0.25">
      <c r="B96" t="s">
        <v>1657</v>
      </c>
      <c r="C96" t="str">
        <f>VLOOKUP(B96,'Dictionnaire des variables'!$B:$C,2,0)</f>
        <v>Communes de provenance des habitants ayant emménagé dans cette commune durant l'année précédente (% des habitants ayant migré vers cette commune)</v>
      </c>
    </row>
    <row r="97" spans="2:3" hidden="1" x14ac:dyDescent="0.25">
      <c r="B97" t="s">
        <v>1678</v>
      </c>
      <c r="C97" t="str">
        <f>VLOOKUP(B97,'Dictionnaire des variables'!$B:$C,2,0)</f>
        <v>% des personnes résidentes qui ont emménagé il y a moins de 1 an</v>
      </c>
    </row>
    <row r="98" spans="2:3" hidden="1" x14ac:dyDescent="0.25">
      <c r="B98" t="s">
        <v>1576</v>
      </c>
      <c r="C98" t="str">
        <f>VLOOKUP(B98,'Dictionnaire des variables'!$B:$C,2,0)</f>
        <v>Tarif eau potable (en € par mètre cube pour 120 mètres cubes)</v>
      </c>
    </row>
    <row r="99" spans="2:3" hidden="1" x14ac:dyDescent="0.25">
      <c r="B99" t="s">
        <v>1658</v>
      </c>
      <c r="C99" t="str">
        <f>VLOOKUP(B99,'Dictionnaire des variables'!$B:$C,2,0)</f>
        <v>Communes de provenance des personnes scolarisées non résidentes (% des personnes scolarisées dans cette commune)</v>
      </c>
    </row>
    <row r="100" spans="2:3" hidden="1" x14ac:dyDescent="0.25">
      <c r="B100" t="s">
        <v>1659</v>
      </c>
      <c r="C100" t="str">
        <f>VLOOKUP(B100,'Dictionnaire des variables'!$B:$C,2,0)</f>
        <v>Communes de provenance des actifs occupés non résidents (% des actifs occupés de cette commune)</v>
      </c>
    </row>
    <row r="101" spans="2:3" hidden="1" x14ac:dyDescent="0.25">
      <c r="B101" t="s">
        <v>1660</v>
      </c>
      <c r="C101" t="str">
        <f>VLOOKUP(B101,'Dictionnaire des variables'!$B:$C,2,0)</f>
        <v>Communes vers lesquelles les habitants ont migré durant l'année précédente (% des habitants ayant migré de cette commune)</v>
      </c>
    </row>
    <row r="102" spans="2:3" hidden="1" x14ac:dyDescent="0.25">
      <c r="B102" t="s">
        <v>1101</v>
      </c>
      <c r="C102" t="str">
        <f>VLOOKUP(B102,'Dictionnaire des variables'!$B:$C,2,0)</f>
        <v>Taux taxe habitation</v>
      </c>
    </row>
    <row r="103" spans="2:3" hidden="1" x14ac:dyDescent="0.25">
      <c r="B103" t="s">
        <v>1102</v>
      </c>
      <c r="C103" t="str">
        <f>VLOOKUP(B103,'Dictionnaire des variables'!$B:$C,2,0)</f>
        <v>Taux taxe foncière bâti</v>
      </c>
    </row>
    <row r="104" spans="2:3" hidden="1" x14ac:dyDescent="0.25">
      <c r="B104" t="s">
        <v>1103</v>
      </c>
      <c r="C104" t="str">
        <f>VLOOKUP(B104,'Dictionnaire des variables'!$B:$C,2,0)</f>
        <v>Taux taxe foncière non bâti</v>
      </c>
    </row>
    <row r="105" spans="2:3" hidden="1" x14ac:dyDescent="0.25">
      <c r="B105" t="s">
        <v>1104</v>
      </c>
      <c r="C105" t="str">
        <f>VLOOKUP(B105,'Dictionnaire des variables'!$B:$C,2,0)</f>
        <v>Taux cotisation foncière des entreprises</v>
      </c>
    </row>
    <row r="106" spans="2:3" hidden="1" x14ac:dyDescent="0.25">
      <c r="B106" t="s">
        <v>1105</v>
      </c>
      <c r="C106" t="str">
        <f>VLOOKUP(B106,'Dictionnaire des variables'!$B:$C,2,0)</f>
        <v>Nombre d inscrits sur la liste électorale</v>
      </c>
    </row>
    <row r="107" spans="2:3" hidden="1" x14ac:dyDescent="0.25">
      <c r="B107" t="s">
        <v>1106</v>
      </c>
      <c r="C107" t="str">
        <f>VLOOKUP(B107,'Dictionnaire des variables'!$B:$C,2,0)</f>
        <v>Abstentions</v>
      </c>
    </row>
    <row r="108" spans="2:3" hidden="1" x14ac:dyDescent="0.25">
      <c r="B108" t="s">
        <v>1107</v>
      </c>
      <c r="C108" t="str">
        <f>VLOOKUP(B108,'Dictionnaire des variables'!$B:$C,2,0)</f>
        <v>Votants</v>
      </c>
    </row>
    <row r="109" spans="2:3" hidden="1" x14ac:dyDescent="0.25">
      <c r="B109" t="s">
        <v>1108</v>
      </c>
      <c r="C109" t="str">
        <f>VLOOKUP(B109,'Dictionnaire des variables'!$B:$C,2,0)</f>
        <v>Blancs et nuls</v>
      </c>
    </row>
    <row r="110" spans="2:3" hidden="1" x14ac:dyDescent="0.25">
      <c r="B110" t="s">
        <v>1109</v>
      </c>
      <c r="C110" t="str">
        <f>VLOOKUP(B110,'Dictionnaire des variables'!$B:$C,2,0)</f>
        <v>Suffrages exprimés</v>
      </c>
    </row>
    <row r="111" spans="2:3" hidden="1" x14ac:dyDescent="0.25">
      <c r="B111" t="s">
        <v>1110</v>
      </c>
      <c r="C111" t="str">
        <f>VLOOKUP(B111,'Dictionnaire des variables'!$B:$C,2,0)</f>
        <v>Pourcentage Candidat 1er tour</v>
      </c>
    </row>
    <row r="112" spans="2:3" hidden="1" x14ac:dyDescent="0.25">
      <c r="B112" t="s">
        <v>1111</v>
      </c>
      <c r="C112" t="str">
        <f>VLOOKUP(B112,'Dictionnaire des variables'!$B:$C,2,0)</f>
        <v>Candidat arrivé en tête au 1er tour</v>
      </c>
    </row>
    <row r="113" spans="2:3" hidden="1" x14ac:dyDescent="0.25">
      <c r="B113" t="s">
        <v>1112</v>
      </c>
      <c r="C113" t="str">
        <f>VLOOKUP(B113,'Dictionnaire des variables'!$B:$C,2,0)</f>
        <v>Pourcentage Candidat 2eme tour</v>
      </c>
    </row>
    <row r="114" spans="2:3" hidden="1" x14ac:dyDescent="0.25">
      <c r="B114" t="s">
        <v>1113</v>
      </c>
      <c r="C114" t="str">
        <f>VLOOKUP(B114,'Dictionnaire des variables'!$B:$C,2,0)</f>
        <v>Candidat arrivé en tête au 2ème tour</v>
      </c>
    </row>
    <row r="115" spans="2:3" hidden="1" x14ac:dyDescent="0.25">
      <c r="B115" t="s">
        <v>1546</v>
      </c>
      <c r="C115" t="str">
        <f>VLOOKUP(B115,'Dictionnaire des variables'!$B:$C,2,0)</f>
        <v>Nombre de foyers fiscaux total</v>
      </c>
    </row>
    <row r="116" spans="2:3" hidden="1" x14ac:dyDescent="0.25">
      <c r="B116" t="s">
        <v>1548</v>
      </c>
      <c r="C116" t="str">
        <f>VLOOKUP(B116,'Dictionnaire des variables'!$B:$C,2,0)</f>
        <v>Revenu fiscal de référence sup. à 100 000 € (% des foyers fiscaux)</v>
      </c>
    </row>
    <row r="117" spans="2:3" hidden="1" x14ac:dyDescent="0.25">
      <c r="B117" t="s">
        <v>1549</v>
      </c>
      <c r="C117" t="str">
        <f>VLOOKUP(B117,'Dictionnaire des variables'!$B:$C,2,0)</f>
        <v>Revenu fiscal de référence inf. à 10 000 € (% des foyers fiscaux)</v>
      </c>
    </row>
    <row r="118" spans="2:3" hidden="1" x14ac:dyDescent="0.25">
      <c r="B118" t="s">
        <v>1550</v>
      </c>
      <c r="C118" t="str">
        <f>VLOOKUP(B118,'Dictionnaire des variables'!$B:$C,2,0)</f>
        <v>Revenu fiscal de référence entre 10 000 et 12 000 € (% des foyers fiscaux)</v>
      </c>
    </row>
    <row r="119" spans="2:3" hidden="1" x14ac:dyDescent="0.25">
      <c r="B119" t="s">
        <v>1551</v>
      </c>
      <c r="C119" t="str">
        <f>VLOOKUP(B119,'Dictionnaire des variables'!$B:$C,2,0)</f>
        <v>Revenu fiscal de référence entre 12 000 et 15 000 € (% des foyers fiscaux)</v>
      </c>
    </row>
    <row r="120" spans="2:3" hidden="1" x14ac:dyDescent="0.25">
      <c r="B120" t="s">
        <v>1552</v>
      </c>
      <c r="C120" t="str">
        <f>VLOOKUP(B120,'Dictionnaire des variables'!$B:$C,2,0)</f>
        <v>Revenu fiscal de référence entre 15 000 et 20 000 € (% des foyers fiscaux)</v>
      </c>
    </row>
    <row r="121" spans="2:3" hidden="1" x14ac:dyDescent="0.25">
      <c r="B121" t="s">
        <v>1553</v>
      </c>
      <c r="C121" t="str">
        <f>VLOOKUP(B121,'Dictionnaire des variables'!$B:$C,2,0)</f>
        <v>Revenu fiscal de référence entre 20 000 et 30 000 € (% des foyers fiscaux)</v>
      </c>
    </row>
    <row r="122" spans="2:3" hidden="1" x14ac:dyDescent="0.25">
      <c r="B122" t="s">
        <v>1554</v>
      </c>
      <c r="C122" t="str">
        <f>VLOOKUP(B122,'Dictionnaire des variables'!$B:$C,2,0)</f>
        <v>Revenu fiscal de référence entre 30 000 et 50 000 € (% des foyers fiscaux)</v>
      </c>
    </row>
    <row r="123" spans="2:3" hidden="1" x14ac:dyDescent="0.25">
      <c r="B123" t="s">
        <v>1555</v>
      </c>
      <c r="C123" t="str">
        <f>VLOOKUP(B123,'Dictionnaire des variables'!$B:$C,2,0)</f>
        <v>Revenu fiscal de référence entre 50 000 et 100 000 € (% des foyers fiscaux)</v>
      </c>
    </row>
    <row r="124" spans="2:3" hidden="1" x14ac:dyDescent="0.25">
      <c r="B124" t="s">
        <v>1145</v>
      </c>
      <c r="C124" t="str">
        <f>VLOOKUP(B124,'Dictionnaire des variables'!$B:$C,2,0)</f>
        <v>Nombre de catastrophes naturelles : Chocs mecaniques liés à l'action des vagues</v>
      </c>
    </row>
    <row r="125" spans="2:3" hidden="1" x14ac:dyDescent="0.25">
      <c r="B125" t="s">
        <v>73</v>
      </c>
      <c r="C125" t="str">
        <f>VLOOKUP(B125,'Dictionnaire des variables'!$B:$C,2,0)</f>
        <v>Nombre de catastrophes naturelles : Effondrement de terrain</v>
      </c>
    </row>
    <row r="126" spans="2:3" hidden="1" x14ac:dyDescent="0.25">
      <c r="B126" t="s">
        <v>74</v>
      </c>
      <c r="C126" t="str">
        <f>VLOOKUP(B126,'Dictionnaire des variables'!$B:$C,2,0)</f>
        <v>Nombre de catastrophes naturelles : Glissement de terrain</v>
      </c>
    </row>
    <row r="127" spans="2:3" hidden="1" x14ac:dyDescent="0.25">
      <c r="B127" t="s">
        <v>75</v>
      </c>
      <c r="C127" t="str">
        <f>VLOOKUP(B127,'Dictionnaire des variables'!$B:$C,2,0)</f>
        <v>Dernière catastrophe naturelle en date</v>
      </c>
    </row>
    <row r="128" spans="2:3" hidden="1" x14ac:dyDescent="0.25">
      <c r="B128" t="s">
        <v>58</v>
      </c>
      <c r="C128" t="str">
        <f>VLOOKUP(B128,'Dictionnaire des variables'!$B:$C,2,0)</f>
        <v>Feu de forêt</v>
      </c>
    </row>
    <row r="129" spans="2:3" hidden="1" x14ac:dyDescent="0.25">
      <c r="B129" t="s">
        <v>60</v>
      </c>
      <c r="C129" t="str">
        <f>VLOOKUP(B129,'Dictionnaire des variables'!$B:$C,2,0)</f>
        <v>Inondation</v>
      </c>
    </row>
    <row r="130" spans="2:3" hidden="1" x14ac:dyDescent="0.25">
      <c r="B130" t="s">
        <v>1146</v>
      </c>
      <c r="C130" t="str">
        <f>VLOOKUP(B130,'Dictionnaire des variables'!$B:$C,2,0)</f>
        <v>Inondation Par remontees de nappes naturelles</v>
      </c>
    </row>
    <row r="131" spans="2:3" hidden="1" x14ac:dyDescent="0.25">
      <c r="B131" t="s">
        <v>1147</v>
      </c>
      <c r="C131" t="str">
        <f>VLOOKUP(B131,'Dictionnaire des variables'!$B:$C,2,0)</f>
        <v>Inondation Par ruissellement et coulee de boue</v>
      </c>
    </row>
    <row r="132" spans="2:3" hidden="1" x14ac:dyDescent="0.25">
      <c r="B132" t="s">
        <v>1148</v>
      </c>
      <c r="C132" t="str">
        <f>VLOOKUP(B132,'Dictionnaire des variables'!$B:$C,2,0)</f>
        <v>Inondation Par submersion marine</v>
      </c>
    </row>
    <row r="133" spans="2:3" hidden="1" x14ac:dyDescent="0.25">
      <c r="B133" t="s">
        <v>1149</v>
      </c>
      <c r="C133" t="str">
        <f>VLOOKUP(B133,'Dictionnaire des variables'!$B:$C,2,0)</f>
        <v>Inondation Par une crue a debordement lent de cours d?eau</v>
      </c>
    </row>
    <row r="134" spans="2:3" hidden="1" x14ac:dyDescent="0.25">
      <c r="B134" t="s">
        <v>1150</v>
      </c>
      <c r="C134" t="str">
        <f>VLOOKUP(B134,'Dictionnaire des variables'!$B:$C,2,0)</f>
        <v>Inondation Par une crue torrentielle ou a montee rapide de cours d?eau</v>
      </c>
    </row>
    <row r="135" spans="2:3" hidden="1" x14ac:dyDescent="0.25">
      <c r="B135" t="s">
        <v>61</v>
      </c>
      <c r="C135" t="str">
        <f>VLOOKUP(B135,'Dictionnaire des variables'!$B:$C,2,0)</f>
        <v xml:space="preserve">Mouvement de terrain </v>
      </c>
    </row>
    <row r="136" spans="2:3" hidden="1" x14ac:dyDescent="0.25">
      <c r="B136" t="s">
        <v>1518</v>
      </c>
      <c r="C136" t="str">
        <f>VLOOKUP(B136,'Dictionnaire des variables'!$B:$C,2,0)</f>
        <v>Mouvement de terrain Affaissements et effondrements lies aux cavites souterrain es (hors mines)</v>
      </c>
    </row>
    <row r="137" spans="2:3" hidden="1" x14ac:dyDescent="0.25">
      <c r="B137" t="s">
        <v>1151</v>
      </c>
      <c r="C137" t="str">
        <f>VLOOKUP(B137,'Dictionnaire des variables'!$B:$C,2,0)</f>
        <v>Mouvement de terrain Anvancee dunaire</v>
      </c>
    </row>
    <row r="138" spans="2:3" hidden="1" x14ac:dyDescent="0.25">
      <c r="B138" t="s">
        <v>1152</v>
      </c>
      <c r="C138" t="str">
        <f>VLOOKUP(B138,'Dictionnaire des variables'!$B:$C,2,0)</f>
        <v>Mouvement de terrain Recul du trait de cote et de falaises</v>
      </c>
    </row>
    <row r="139" spans="2:3" hidden="1" x14ac:dyDescent="0.25">
      <c r="B139" t="s">
        <v>1153</v>
      </c>
      <c r="C139" t="str">
        <f>VLOOKUP(B139,'Dictionnaire des variables'!$B:$C,2,0)</f>
        <v>Mouvement de terrain Tassements differentiels</v>
      </c>
    </row>
    <row r="140" spans="2:3" hidden="1" x14ac:dyDescent="0.25">
      <c r="B140" t="s">
        <v>76</v>
      </c>
      <c r="C140" t="str">
        <f>VLOOKUP(B140,'Dictionnaire des variables'!$B:$C,2,0)</f>
        <v>Nombre de jours depuis la dernière catastrophe naturelle</v>
      </c>
    </row>
    <row r="141" spans="2:3" hidden="1" x14ac:dyDescent="0.25">
      <c r="B141" t="s">
        <v>62</v>
      </c>
      <c r="C141" t="str">
        <f>VLOOKUP(B141,'Dictionnaire des variables'!$B:$C,2,0)</f>
        <v>Risque Nucléaire</v>
      </c>
    </row>
    <row r="142" spans="2:3" hidden="1" x14ac:dyDescent="0.25">
      <c r="B142" t="s">
        <v>63</v>
      </c>
      <c r="C142" t="str">
        <f>VLOOKUP(B142,'Dictionnaire des variables'!$B:$C,2,0)</f>
        <v>Risque industriel</v>
      </c>
    </row>
    <row r="143" spans="2:3" hidden="1" x14ac:dyDescent="0.25">
      <c r="B143" t="s">
        <v>1154</v>
      </c>
      <c r="C143" t="str">
        <f>VLOOKUP(B143,'Dictionnaire des variables'!$B:$C,2,0)</f>
        <v>Risque industriel Effet de surpression</v>
      </c>
    </row>
    <row r="144" spans="2:3" hidden="1" x14ac:dyDescent="0.25">
      <c r="B144" t="s">
        <v>1155</v>
      </c>
      <c r="C144" t="str">
        <f>VLOOKUP(B144,'Dictionnaire des variables'!$B:$C,2,0)</f>
        <v>Risque industriel Effet thermique</v>
      </c>
    </row>
    <row r="145" spans="2:3" hidden="1" x14ac:dyDescent="0.25">
      <c r="B145" t="s">
        <v>1156</v>
      </c>
      <c r="C145" t="str">
        <f>VLOOKUP(B145,'Dictionnaire des variables'!$B:$C,2,0)</f>
        <v>Risque industriel Effet toxique</v>
      </c>
    </row>
    <row r="146" spans="2:3" hidden="1" x14ac:dyDescent="0.25">
      <c r="B146" t="s">
        <v>65</v>
      </c>
      <c r="C146" t="str">
        <f>VLOOKUP(B146,'Dictionnaire des variables'!$B:$C,2,0)</f>
        <v>Rupture de barrage</v>
      </c>
    </row>
    <row r="147" spans="2:3" hidden="1" x14ac:dyDescent="0.25">
      <c r="B147" t="s">
        <v>67</v>
      </c>
      <c r="C147" t="str">
        <f>VLOOKUP(B147,'Dictionnaire des variables'!$B:$C,2,0)</f>
        <v>Transport de marchandises dangereuses</v>
      </c>
    </row>
    <row r="148" spans="2:3" hidden="1" x14ac:dyDescent="0.25">
      <c r="B148" t="s">
        <v>69</v>
      </c>
      <c r="C148" t="str">
        <f>VLOOKUP(B148,'Dictionnaire des variables'!$B:$C,2,0)</f>
        <v>Zone de sismicité</v>
      </c>
    </row>
    <row r="149" spans="2:3" hidden="1" x14ac:dyDescent="0.25">
      <c r="B149" t="s">
        <v>77</v>
      </c>
      <c r="C149" t="str">
        <f>VLOOKUP(B149,'Dictionnaire des variables'!$B:$C,2,0)</f>
        <v>Nombre d'années depuis la dernière catastrophe naturelle</v>
      </c>
    </row>
    <row r="150" spans="2:3" hidden="1" x14ac:dyDescent="0.25">
      <c r="B150" t="s">
        <v>1679</v>
      </c>
      <c r="C150" t="str">
        <f>VLOOKUP(B150,'Dictionnaire des variables'!$B:$C,2,0)</f>
        <v>Nombre de catastrophes naturelles : Inondations et coulées de boue</v>
      </c>
    </row>
    <row r="151" spans="2:3" hidden="1" x14ac:dyDescent="0.25">
      <c r="B151" t="s">
        <v>1680</v>
      </c>
      <c r="C151" t="str">
        <f>VLOOKUP(B151,'Dictionnaire des variables'!$B:$C,2,0)</f>
        <v>Nombre de catastrophes naturelles : Mouvement de terrain</v>
      </c>
    </row>
    <row r="152" spans="2:3" hidden="1" x14ac:dyDescent="0.25">
      <c r="B152" t="s">
        <v>1485</v>
      </c>
      <c r="C152" t="str">
        <f>VLOOKUP(B152,'Dictionnaire des variables'!$B:$C,2,0)</f>
        <v>Départementales : Liste en tête au premier tour</v>
      </c>
    </row>
    <row r="153" spans="2:3" hidden="1" x14ac:dyDescent="0.25">
      <c r="B153" t="s">
        <v>1484</v>
      </c>
      <c r="C153" t="str">
        <f>VLOOKUP(B153,'Dictionnaire des variables'!$B:$C,2,0)</f>
        <v>Départementales : Liste gagnante au second tour</v>
      </c>
    </row>
    <row r="154" spans="2:3" hidden="1" x14ac:dyDescent="0.25">
      <c r="B154" t="s">
        <v>71</v>
      </c>
      <c r="C154" t="str">
        <f>VLOOKUP(B154,'Dictionnaire des variables'!$B:$C,2,0)</f>
        <v>Prix du mètre carré (Site 2)</v>
      </c>
    </row>
    <row r="155" spans="2:3" hidden="1" x14ac:dyDescent="0.25">
      <c r="B155" t="s">
        <v>1710</v>
      </c>
      <c r="C155" t="str">
        <f>VLOOKUP(B155,'Dictionnaire des variables'!$B:$C,2,0)</f>
        <v xml:space="preserve">Nombre de petites annonces </v>
      </c>
    </row>
    <row r="156" spans="2:3" hidden="1" x14ac:dyDescent="0.25">
      <c r="B156" t="s">
        <v>1711</v>
      </c>
      <c r="C156" t="str">
        <f>VLOOKUP(B156,'Dictionnaire des variables'!$B:$C,2,0)</f>
        <v>Prix moyen</v>
      </c>
    </row>
    <row r="157" spans="2:3" hidden="1" x14ac:dyDescent="0.25">
      <c r="B157" t="s">
        <v>1712</v>
      </c>
      <c r="C157" t="str">
        <f>VLOOKUP(B157,'Dictionnaire des variables'!$B:$C,2,0)</f>
        <v>Année de production moyenne</v>
      </c>
    </row>
    <row r="158" spans="2:3" hidden="1" x14ac:dyDescent="0.25">
      <c r="B158" t="s">
        <v>72</v>
      </c>
      <c r="C158" t="str">
        <f>VLOOKUP(B158,'Dictionnaire des variables'!$B:$C,2,0)</f>
        <v>Prix du mètre carré (Site 3)</v>
      </c>
    </row>
    <row r="159" spans="2:3" hidden="1" x14ac:dyDescent="0.25">
      <c r="B159" t="s">
        <v>421</v>
      </c>
      <c r="C159" t="str">
        <f>VLOOKUP(B159,'Dictionnaire des variables'!$B:$C,2,0)</f>
        <v>Code de la région</v>
      </c>
    </row>
    <row r="160" spans="2:3" hidden="1" x14ac:dyDescent="0.25">
      <c r="B160" t="s">
        <v>929</v>
      </c>
      <c r="C160" t="str">
        <f>VLOOKUP(B160,'Dictionnaire des variables'!$B:$C,2,0)</f>
        <v>Autre code région</v>
      </c>
    </row>
    <row r="161" spans="2:3" hidden="1" x14ac:dyDescent="0.25">
      <c r="B161" t="s">
        <v>422</v>
      </c>
      <c r="C161" t="str">
        <f>VLOOKUP(B161,'Dictionnaire des variables'!$B:$C,2,0)</f>
        <v>Code du département</v>
      </c>
    </row>
    <row r="162" spans="2:3" hidden="1" x14ac:dyDescent="0.25">
      <c r="B162" t="s">
        <v>930</v>
      </c>
      <c r="C162" t="str">
        <f>VLOOKUP(B162,'Dictionnaire des variables'!$B:$C,2,0)</f>
        <v>Autre code commune</v>
      </c>
    </row>
    <row r="163" spans="2:3" hidden="1" x14ac:dyDescent="0.25">
      <c r="B163" t="s">
        <v>423</v>
      </c>
      <c r="C163" t="str">
        <f>VLOOKUP(B163,'Dictionnaire des variables'!$B:$C,2,0)</f>
        <v>Code du département suivi du numéro de commune ou du numéro d'arrondissement municipal pour Paris Lyon et Marseille</v>
      </c>
    </row>
    <row r="164" spans="2:3" hidden="1" x14ac:dyDescent="0.25">
      <c r="B164" t="s">
        <v>424</v>
      </c>
      <c r="C164" t="str">
        <f>VLOOKUP(B164,'Dictionnaire des variables'!$B:$C,2,0)</f>
        <v>Libellé de la commune ou de l'arrondissement municipal pour Paris Lyon et Marseille</v>
      </c>
    </row>
    <row r="165" spans="2:3" hidden="1" x14ac:dyDescent="0.25">
      <c r="B165" t="s">
        <v>425</v>
      </c>
      <c r="C165" t="str">
        <f>VLOOKUP(B165,'Dictionnaire des variables'!$B:$C,2,0)</f>
        <v>Code du département suivi d'un numéro d'ordre à l'intérieur du département sur trois positions puis d'un indicateur de TRIRIS</v>
      </c>
    </row>
    <row r="166" spans="2:3" hidden="1" x14ac:dyDescent="0.25">
      <c r="B166" t="s">
        <v>426</v>
      </c>
      <c r="C166" t="str">
        <f>VLOOKUP(B166,'Dictionnaire des variables'!$B:$C,2,0)</f>
        <v>Code du département suivi du numéro de commune ou du numéro d'arrondissement municipal pour Paris Lyon et Marseille suivi du numéro de grand quartier</v>
      </c>
    </row>
    <row r="167" spans="2:3" hidden="1" x14ac:dyDescent="0.25">
      <c r="B167" t="s">
        <v>427</v>
      </c>
      <c r="C167" t="str">
        <f>VLOOKUP(B167,'Dictionnaire des variables'!$B:$C,2,0)</f>
        <v>Libellé de l'IRIS à l'intérieur de la commune ou de l'arrondissement municipal pour Paris Lyon et Marseille</v>
      </c>
    </row>
    <row r="168" spans="2:3" hidden="1" x14ac:dyDescent="0.25">
      <c r="B168" t="s">
        <v>428</v>
      </c>
      <c r="C168" t="str">
        <f>VLOOKUP(B168,'Dictionnaire des variables'!$B:$C,2,0)</f>
        <v>Type IRIS :  Habitat (H), Activité (A), Divers (D), Autre (Z)</v>
      </c>
    </row>
    <row r="169" spans="2:3" hidden="1" x14ac:dyDescent="0.25">
      <c r="B169" t="s">
        <v>429</v>
      </c>
      <c r="C169" t="str">
        <f>VLOOKUP(B169,'Dictionnaire des variables'!$B:$C,2,0)</f>
        <v>Type de modification de l'IRIS depuis 1999</v>
      </c>
    </row>
    <row r="170" spans="2:3" hidden="1" x14ac:dyDescent="0.25">
      <c r="B170" t="s">
        <v>98</v>
      </c>
      <c r="C170" t="str">
        <f>VLOOKUP(B170,'Dictionnaire des variables'!$B:$C,2,0)</f>
        <v>Nombre de personnes de 15 à 64 ans</v>
      </c>
    </row>
    <row r="171" spans="2:3" hidden="1" x14ac:dyDescent="0.25">
      <c r="B171" t="s">
        <v>1449</v>
      </c>
      <c r="C171" t="str">
        <f>VLOOKUP(B171,'Dictionnaire des variables'!$B:$C,2,0)</f>
        <v>Part des personnes âgées de 15 à 24 ans</v>
      </c>
    </row>
    <row r="172" spans="2:3" hidden="1" x14ac:dyDescent="0.25">
      <c r="B172" t="s">
        <v>1450</v>
      </c>
      <c r="C172" t="str">
        <f>VLOOKUP(B172,'Dictionnaire des variables'!$B:$C,2,0)</f>
        <v>Part des personnes âgées de 25 à 54 ans</v>
      </c>
    </row>
    <row r="173" spans="2:3" hidden="1" x14ac:dyDescent="0.25">
      <c r="B173" t="s">
        <v>99</v>
      </c>
      <c r="C173" t="str">
        <f>VLOOKUP(B173,'Dictionnaire des variables'!$B:$C,2,0)</f>
        <v>Nombre de personnes de 55 à 64 ans</v>
      </c>
    </row>
    <row r="174" spans="2:3" hidden="1" x14ac:dyDescent="0.25">
      <c r="B174" t="s">
        <v>100</v>
      </c>
      <c r="C174" t="str">
        <f>VLOOKUP(B174,'Dictionnaire des variables'!$B:$C,2,0)</f>
        <v>Nombre d'hommes de 15 à 64 ans</v>
      </c>
    </row>
    <row r="175" spans="2:3" hidden="1" x14ac:dyDescent="0.25">
      <c r="B175" t="s">
        <v>101</v>
      </c>
      <c r="C175" t="str">
        <f>VLOOKUP(B175,'Dictionnaire des variables'!$B:$C,2,0)</f>
        <v>Nombre d'hommes de 15 à 24 ans</v>
      </c>
    </row>
    <row r="176" spans="2:3" hidden="1" x14ac:dyDescent="0.25">
      <c r="B176" t="s">
        <v>102</v>
      </c>
      <c r="C176" t="str">
        <f>VLOOKUP(B176,'Dictionnaire des variables'!$B:$C,2,0)</f>
        <v>Nombre d'hommes de 25 à 54 ans</v>
      </c>
    </row>
    <row r="177" spans="2:3" hidden="1" x14ac:dyDescent="0.25">
      <c r="B177" t="s">
        <v>103</v>
      </c>
      <c r="C177" t="str">
        <f>VLOOKUP(B177,'Dictionnaire des variables'!$B:$C,2,0)</f>
        <v>Nombre d'hommes de 55 à 64 ans</v>
      </c>
    </row>
    <row r="178" spans="2:3" hidden="1" x14ac:dyDescent="0.25">
      <c r="B178" t="s">
        <v>104</v>
      </c>
      <c r="C178" t="str">
        <f>VLOOKUP(B178,'Dictionnaire des variables'!$B:$C,2,0)</f>
        <v>Nombre de femmes de 15 à 64 ans</v>
      </c>
    </row>
    <row r="179" spans="2:3" hidden="1" x14ac:dyDescent="0.25">
      <c r="B179" t="s">
        <v>105</v>
      </c>
      <c r="C179" t="str">
        <f>VLOOKUP(B179,'Dictionnaire des variables'!$B:$C,2,0)</f>
        <v>Nombre de femmes de 15 à 24 ans</v>
      </c>
    </row>
    <row r="180" spans="2:3" hidden="1" x14ac:dyDescent="0.25">
      <c r="B180" t="s">
        <v>106</v>
      </c>
      <c r="C180" t="str">
        <f>VLOOKUP(B180,'Dictionnaire des variables'!$B:$C,2,0)</f>
        <v>Nombre de femmes de 25 à 54 ans</v>
      </c>
    </row>
    <row r="181" spans="2:3" hidden="1" x14ac:dyDescent="0.25">
      <c r="B181" t="s">
        <v>107</v>
      </c>
      <c r="C181" t="str">
        <f>VLOOKUP(B181,'Dictionnaire des variables'!$B:$C,2,0)</f>
        <v>Nombre de femmes de 55 à 64 ans</v>
      </c>
    </row>
    <row r="182" spans="2:3" hidden="1" x14ac:dyDescent="0.25">
      <c r="B182" t="s">
        <v>108</v>
      </c>
      <c r="C182" t="str">
        <f>VLOOKUP(B182,'Dictionnaire des variables'!$B:$C,2,0)</f>
        <v>Nombre de personnes actives de 15 à 64 ans</v>
      </c>
    </row>
    <row r="183" spans="2:3" hidden="1" x14ac:dyDescent="0.25">
      <c r="B183" t="s">
        <v>109</v>
      </c>
      <c r="C183" t="str">
        <f>VLOOKUP(B183,'Dictionnaire des variables'!$B:$C,2,0)</f>
        <v>Nombre de personnes actives de 15 à 24 ans</v>
      </c>
    </row>
    <row r="184" spans="2:3" hidden="1" x14ac:dyDescent="0.25">
      <c r="B184" t="s">
        <v>110</v>
      </c>
      <c r="C184" t="str">
        <f>VLOOKUP(B184,'Dictionnaire des variables'!$B:$C,2,0)</f>
        <v>Nombre de personnes actives de 25 à 54 ans</v>
      </c>
    </row>
    <row r="185" spans="2:3" hidden="1" x14ac:dyDescent="0.25">
      <c r="B185" t="s">
        <v>111</v>
      </c>
      <c r="C185" t="str">
        <f>VLOOKUP(B185,'Dictionnaire des variables'!$B:$C,2,0)</f>
        <v>Nombre de personnes actives de 55 à 64 ans</v>
      </c>
    </row>
    <row r="186" spans="2:3" hidden="1" x14ac:dyDescent="0.25">
      <c r="B186" t="s">
        <v>112</v>
      </c>
      <c r="C186" t="str">
        <f>VLOOKUP(B186,'Dictionnaire des variables'!$B:$C,2,0)</f>
        <v>Nombre d'hommes actifs de 15 à 64 ans</v>
      </c>
    </row>
    <row r="187" spans="2:3" hidden="1" x14ac:dyDescent="0.25">
      <c r="B187" t="s">
        <v>113</v>
      </c>
      <c r="C187" t="str">
        <f>VLOOKUP(B187,'Dictionnaire des variables'!$B:$C,2,0)</f>
        <v>Nombre d'hommes actifs de 15 à 24 ans</v>
      </c>
    </row>
    <row r="188" spans="2:3" hidden="1" x14ac:dyDescent="0.25">
      <c r="B188" t="s">
        <v>114</v>
      </c>
      <c r="C188" t="str">
        <f>VLOOKUP(B188,'Dictionnaire des variables'!$B:$C,2,0)</f>
        <v>Nombre d'hommes actifs de 25 à 54 ans</v>
      </c>
    </row>
    <row r="189" spans="2:3" hidden="1" x14ac:dyDescent="0.25">
      <c r="B189" t="s">
        <v>115</v>
      </c>
      <c r="C189" t="str">
        <f>VLOOKUP(B189,'Dictionnaire des variables'!$B:$C,2,0)</f>
        <v>Nombre d'hommes actifs de 55 à 64 ans</v>
      </c>
    </row>
    <row r="190" spans="2:3" hidden="1" x14ac:dyDescent="0.25">
      <c r="B190" t="s">
        <v>116</v>
      </c>
      <c r="C190" t="str">
        <f>VLOOKUP(B190,'Dictionnaire des variables'!$B:$C,2,0)</f>
        <v>Nombre de femmes actives de 15 à 64 ans</v>
      </c>
    </row>
    <row r="191" spans="2:3" hidden="1" x14ac:dyDescent="0.25">
      <c r="B191" t="s">
        <v>117</v>
      </c>
      <c r="C191" t="str">
        <f>VLOOKUP(B191,'Dictionnaire des variables'!$B:$C,2,0)</f>
        <v>Nombre de femmes actives de 15 à 24 ans</v>
      </c>
    </row>
    <row r="192" spans="2:3" hidden="1" x14ac:dyDescent="0.25">
      <c r="B192" t="s">
        <v>118</v>
      </c>
      <c r="C192" t="str">
        <f>VLOOKUP(B192,'Dictionnaire des variables'!$B:$C,2,0)</f>
        <v>Nombre de femmes actives de 25 à 54 ans</v>
      </c>
    </row>
    <row r="193" spans="2:3" hidden="1" x14ac:dyDescent="0.25">
      <c r="B193" t="s">
        <v>119</v>
      </c>
      <c r="C193" t="str">
        <f>VLOOKUP(B193,'Dictionnaire des variables'!$B:$C,2,0)</f>
        <v>Nombre de femmes actives de 55 à 64 ans</v>
      </c>
    </row>
    <row r="194" spans="2:3" hidden="1" x14ac:dyDescent="0.25">
      <c r="B194" t="s">
        <v>120</v>
      </c>
      <c r="C194" t="str">
        <f>VLOOKUP(B194,'Dictionnaire des variables'!$B:$C,2,0)</f>
        <v>Nombre de personnes actives occupées de 15 à 64 ans</v>
      </c>
    </row>
    <row r="195" spans="2:3" hidden="1" x14ac:dyDescent="0.25">
      <c r="B195" t="s">
        <v>931</v>
      </c>
      <c r="C195" t="str">
        <f>VLOOKUP(B195,'Dictionnaire des variables'!$B:$C,2,0)</f>
        <v>Nombre de personnes actives occupées de 15 à 24 ans</v>
      </c>
    </row>
    <row r="196" spans="2:3" hidden="1" x14ac:dyDescent="0.25">
      <c r="B196" t="s">
        <v>121</v>
      </c>
      <c r="C196" t="str">
        <f>VLOOKUP(B196,'Dictionnaire des variables'!$B:$C,2,0)</f>
        <v>Nombre de personnes actives occupées de 25 à 54 ans</v>
      </c>
    </row>
    <row r="197" spans="2:3" hidden="1" x14ac:dyDescent="0.25">
      <c r="B197" t="s">
        <v>122</v>
      </c>
      <c r="C197" t="str">
        <f>VLOOKUP(B197,'Dictionnaire des variables'!$B:$C,2,0)</f>
        <v>Nombre de personnes actives occupées de 55 à 64 ans</v>
      </c>
    </row>
    <row r="198" spans="2:3" hidden="1" x14ac:dyDescent="0.25">
      <c r="B198" t="s">
        <v>123</v>
      </c>
      <c r="C198" t="str">
        <f>VLOOKUP(B198,'Dictionnaire des variables'!$B:$C,2,0)</f>
        <v>Nombre d'hommes actifs occupés de 15 à 64 ans</v>
      </c>
    </row>
    <row r="199" spans="2:3" hidden="1" x14ac:dyDescent="0.25">
      <c r="B199" t="s">
        <v>124</v>
      </c>
      <c r="C199" t="str">
        <f>VLOOKUP(B199,'Dictionnaire des variables'!$B:$C,2,0)</f>
        <v>Nombre d'hommes actifs occupés de 15 à 24 ans</v>
      </c>
    </row>
    <row r="200" spans="2:3" hidden="1" x14ac:dyDescent="0.25">
      <c r="B200" t="s">
        <v>125</v>
      </c>
      <c r="C200" t="str">
        <f>VLOOKUP(B200,'Dictionnaire des variables'!$B:$C,2,0)</f>
        <v>Nombre d'hommes actifs occupés de 25 à 54 ans</v>
      </c>
    </row>
    <row r="201" spans="2:3" hidden="1" x14ac:dyDescent="0.25">
      <c r="B201" t="s">
        <v>126</v>
      </c>
      <c r="C201" t="str">
        <f>VLOOKUP(B201,'Dictionnaire des variables'!$B:$C,2,0)</f>
        <v>Nombre d'hommes actifs occupés de 55 à 64 ans</v>
      </c>
    </row>
    <row r="202" spans="2:3" hidden="1" x14ac:dyDescent="0.25">
      <c r="B202" t="s">
        <v>127</v>
      </c>
      <c r="C202" t="str">
        <f>VLOOKUP(B202,'Dictionnaire des variables'!$B:$C,2,0)</f>
        <v>Nombre de femmes actives occupées de 15 à 64 ans</v>
      </c>
    </row>
    <row r="203" spans="2:3" hidden="1" x14ac:dyDescent="0.25">
      <c r="B203" t="s">
        <v>128</v>
      </c>
      <c r="C203" t="str">
        <f>VLOOKUP(B203,'Dictionnaire des variables'!$B:$C,2,0)</f>
        <v>Nombre de femmes actives occupées de 15 à 24 ans</v>
      </c>
    </row>
    <row r="204" spans="2:3" hidden="1" x14ac:dyDescent="0.25">
      <c r="B204" t="s">
        <v>129</v>
      </c>
      <c r="C204" t="str">
        <f>VLOOKUP(B204,'Dictionnaire des variables'!$B:$C,2,0)</f>
        <v>Nombre de femmes actives occupées de 25 à 54 ans</v>
      </c>
    </row>
    <row r="205" spans="2:3" hidden="1" x14ac:dyDescent="0.25">
      <c r="B205" t="s">
        <v>130</v>
      </c>
      <c r="C205" t="str">
        <f>VLOOKUP(B205,'Dictionnaire des variables'!$B:$C,2,0)</f>
        <v>Nombre de femmes actives occupées de 55 à 64 ans</v>
      </c>
    </row>
    <row r="206" spans="2:3" hidden="1" x14ac:dyDescent="0.25">
      <c r="B206" t="s">
        <v>932</v>
      </c>
      <c r="C206" t="str">
        <f>VLOOKUP(B206,'Dictionnaire des variables'!$B:$C,2,0)</f>
        <v>Nombre de chômeurs de 15 à 64 ans</v>
      </c>
    </row>
    <row r="207" spans="2:3" hidden="1" x14ac:dyDescent="0.25">
      <c r="B207" t="s">
        <v>933</v>
      </c>
      <c r="C207" t="str">
        <f>VLOOKUP(B207,'Dictionnaire des variables'!$B:$C,2,0)</f>
        <v>Nombre de chômeurs de 15 à 24 ans</v>
      </c>
    </row>
    <row r="208" spans="2:3" hidden="1" x14ac:dyDescent="0.25">
      <c r="B208" t="s">
        <v>131</v>
      </c>
      <c r="C208" t="str">
        <f>VLOOKUP(B208,'Dictionnaire des variables'!$B:$C,2,0)</f>
        <v>Nombre de chômeurs de 25 à 54 ans</v>
      </c>
    </row>
    <row r="209" spans="2:3" hidden="1" x14ac:dyDescent="0.25">
      <c r="B209" t="s">
        <v>132</v>
      </c>
      <c r="C209" t="str">
        <f>VLOOKUP(B209,'Dictionnaire des variables'!$B:$C,2,0)</f>
        <v>Nombre de chômeurs de 55 à 64 ans</v>
      </c>
    </row>
    <row r="210" spans="2:3" hidden="1" x14ac:dyDescent="0.25">
      <c r="B210" t="s">
        <v>133</v>
      </c>
      <c r="C210" t="str">
        <f>VLOOKUP(B210,'Dictionnaire des variables'!$B:$C,2,0)</f>
        <v>Nombre de chômeurs hommes de 15 à 64 ans</v>
      </c>
    </row>
    <row r="211" spans="2:3" hidden="1" x14ac:dyDescent="0.25">
      <c r="B211" t="s">
        <v>134</v>
      </c>
      <c r="C211" t="str">
        <f>VLOOKUP(B211,'Dictionnaire des variables'!$B:$C,2,0)</f>
        <v>Nombre de chômeurs femmes de 15 à 64 ans</v>
      </c>
    </row>
    <row r="212" spans="2:3" hidden="1" x14ac:dyDescent="0.25">
      <c r="B212" t="s">
        <v>135</v>
      </c>
      <c r="C212" t="str">
        <f>VLOOKUP(B212,'Dictionnaire des variables'!$B:$C,2,0)</f>
        <v>Nombre de personnes inactives de 15 à 64 ans</v>
      </c>
    </row>
    <row r="213" spans="2:3" hidden="1" x14ac:dyDescent="0.25">
      <c r="B213" t="s">
        <v>136</v>
      </c>
      <c r="C213" t="str">
        <f>VLOOKUP(B213,'Dictionnaire des variables'!$B:$C,2,0)</f>
        <v>Nombre d'hommes inactifs de 15 à 64 ans</v>
      </c>
    </row>
    <row r="214" spans="2:3" hidden="1" x14ac:dyDescent="0.25">
      <c r="B214" t="s">
        <v>137</v>
      </c>
      <c r="C214" t="str">
        <f>VLOOKUP(B214,'Dictionnaire des variables'!$B:$C,2,0)</f>
        <v>Nombre de femmes inactives de 15 à 64 ans</v>
      </c>
    </row>
    <row r="215" spans="2:3" hidden="1" x14ac:dyDescent="0.25">
      <c r="B215" t="s">
        <v>934</v>
      </c>
      <c r="C215" t="str">
        <f>VLOOKUP(B215,'Dictionnaire des variables'!$B:$C,2,0)</f>
        <v>Nombre d'élèves, étudiants et stagiaires non rémunérés de 15 à 64 ans</v>
      </c>
    </row>
    <row r="216" spans="2:3" hidden="1" x14ac:dyDescent="0.25">
      <c r="B216" t="s">
        <v>138</v>
      </c>
      <c r="C216" t="str">
        <f>VLOOKUP(B216,'Dictionnaire des variables'!$B:$C,2,0)</f>
        <v>Nombre d'élèves, étudiants et stagiaires non rémunérés hommes de 15 à 64 ans</v>
      </c>
    </row>
    <row r="217" spans="2:3" hidden="1" x14ac:dyDescent="0.25">
      <c r="B217" t="s">
        <v>139</v>
      </c>
      <c r="C217" t="str">
        <f>VLOOKUP(B217,'Dictionnaire des variables'!$B:$C,2,0)</f>
        <v>Nombre d'élèves, étudiants et stagiaires non rémunérés femmes de 15 à 64 ans</v>
      </c>
    </row>
    <row r="218" spans="2:3" hidden="1" x14ac:dyDescent="0.25">
      <c r="B218" t="s">
        <v>935</v>
      </c>
      <c r="C218" t="str">
        <f>VLOOKUP(B218,'Dictionnaire des variables'!$B:$C,2,0)</f>
        <v>Nombre de retraités ou préretraités de 15 à 64 ans</v>
      </c>
    </row>
    <row r="219" spans="2:3" hidden="1" x14ac:dyDescent="0.25">
      <c r="B219" t="s">
        <v>140</v>
      </c>
      <c r="C219" t="str">
        <f>VLOOKUP(B219,'Dictionnaire des variables'!$B:$C,2,0)</f>
        <v>Nombre de retraités ou préretraités hommes de 15 à 64 ans</v>
      </c>
    </row>
    <row r="220" spans="2:3" hidden="1" x14ac:dyDescent="0.25">
      <c r="B220" t="s">
        <v>141</v>
      </c>
      <c r="C220" t="str">
        <f>VLOOKUP(B220,'Dictionnaire des variables'!$B:$C,2,0)</f>
        <v>Nombre de retraités ou préretraités femmes de 15 à 64 ans</v>
      </c>
    </row>
    <row r="221" spans="2:3" hidden="1" x14ac:dyDescent="0.25">
      <c r="B221" t="s">
        <v>142</v>
      </c>
      <c r="C221" t="str">
        <f>VLOOKUP(B221,'Dictionnaire des variables'!$B:$C,2,0)</f>
        <v>Nombre d'autres inactifs de 15 à 64 ans</v>
      </c>
    </row>
    <row r="222" spans="2:3" hidden="1" x14ac:dyDescent="0.25">
      <c r="B222" t="s">
        <v>143</v>
      </c>
      <c r="C222" t="str">
        <f>VLOOKUP(B222,'Dictionnaire des variables'!$B:$C,2,0)</f>
        <v>Nombre d'autres inactifs hommes de 15 à 64 ans</v>
      </c>
    </row>
    <row r="223" spans="2:3" hidden="1" x14ac:dyDescent="0.25">
      <c r="B223" t="s">
        <v>144</v>
      </c>
      <c r="C223" t="str">
        <f>VLOOKUP(B223,'Dictionnaire des variables'!$B:$C,2,0)</f>
        <v>Nombre d'autres inactifs femmes de 15 à 64 ans</v>
      </c>
    </row>
    <row r="224" spans="2:3" hidden="1" x14ac:dyDescent="0.25">
      <c r="B224" t="s">
        <v>936</v>
      </c>
      <c r="C224" t="str">
        <f>VLOOKUP(B224,'Dictionnaire des variables'!$B:$C,2,0)</f>
        <v>Nombre de personnes actives de 15 à 64 ans</v>
      </c>
    </row>
    <row r="225" spans="2:3" hidden="1" x14ac:dyDescent="0.25">
      <c r="B225" t="s">
        <v>937</v>
      </c>
      <c r="C225" t="str">
        <f>VLOOKUP(B225,'Dictionnaire des variables'!$B:$C,2,0)</f>
        <v>Nombre d'agriculteurs exploitants actifs de 15 à 64 ans</v>
      </c>
    </row>
    <row r="226" spans="2:3" hidden="1" x14ac:dyDescent="0.25">
      <c r="B226" t="s">
        <v>938</v>
      </c>
      <c r="C226" t="str">
        <f>VLOOKUP(B226,'Dictionnaire des variables'!$B:$C,2,0)</f>
        <v>Nombre d'artisans, commerçants, chefs d'entreprise actifs de 15 à 64 ans</v>
      </c>
    </row>
    <row r="227" spans="2:3" hidden="1" x14ac:dyDescent="0.25">
      <c r="B227" t="s">
        <v>939</v>
      </c>
      <c r="C227" t="str">
        <f>VLOOKUP(B227,'Dictionnaire des variables'!$B:$C,2,0)</f>
        <v>Nombre de cadres, professions intellectuelles supérieures actifs de 15 à 64 ans</v>
      </c>
    </row>
    <row r="228" spans="2:3" hidden="1" x14ac:dyDescent="0.25">
      <c r="B228" t="s">
        <v>940</v>
      </c>
      <c r="C228" t="str">
        <f>VLOOKUP(B228,'Dictionnaire des variables'!$B:$C,2,0)</f>
        <v>Nombre de professions intermédiaires actifs de 15 à 64 ans</v>
      </c>
    </row>
    <row r="229" spans="2:3" hidden="1" x14ac:dyDescent="0.25">
      <c r="B229" t="s">
        <v>941</v>
      </c>
      <c r="C229" t="str">
        <f>VLOOKUP(B229,'Dictionnaire des variables'!$B:$C,2,0)</f>
        <v>Nombre d'employés actifs de 15 à 64 ans</v>
      </c>
    </row>
    <row r="230" spans="2:3" hidden="1" x14ac:dyDescent="0.25">
      <c r="B230" t="s">
        <v>942</v>
      </c>
      <c r="C230" t="str">
        <f>VLOOKUP(B230,'Dictionnaire des variables'!$B:$C,2,0)</f>
        <v>Nombre d'ouvriers actifs de 15 à 64 ans</v>
      </c>
    </row>
    <row r="231" spans="2:3" hidden="1" x14ac:dyDescent="0.25">
      <c r="B231" t="s">
        <v>145</v>
      </c>
      <c r="C231" t="str">
        <f>VLOOKUP(B231,'Dictionnaire des variables'!$B:$C,2,0)</f>
        <v>Nombre de personnes actives occupées de 15 à 64 ans</v>
      </c>
    </row>
    <row r="232" spans="2:3" hidden="1" x14ac:dyDescent="0.25">
      <c r="B232" t="s">
        <v>146</v>
      </c>
      <c r="C232" t="str">
        <f>VLOOKUP(B232,'Dictionnaire des variables'!$B:$C,2,0)</f>
        <v>Nombre d'agriculteurs exploitants actifs occupés de 15 à 64 ans</v>
      </c>
    </row>
    <row r="233" spans="2:3" hidden="1" x14ac:dyDescent="0.25">
      <c r="B233" t="s">
        <v>147</v>
      </c>
      <c r="C233" t="str">
        <f>VLOOKUP(B233,'Dictionnaire des variables'!$B:$C,2,0)</f>
        <v>Nombre d'artisans, commerçants, chefs d'entreprise actifs occupés de 15 à 64 ans</v>
      </c>
    </row>
    <row r="234" spans="2:3" hidden="1" x14ac:dyDescent="0.25">
      <c r="B234" t="s">
        <v>148</v>
      </c>
      <c r="C234" t="str">
        <f>VLOOKUP(B234,'Dictionnaire des variables'!$B:$C,2,0)</f>
        <v>Nombre de cadres, professions intellectuelles supérieures actifs occupés de 15 à 64 ans</v>
      </c>
    </row>
    <row r="235" spans="2:3" hidden="1" x14ac:dyDescent="0.25">
      <c r="B235" t="s">
        <v>149</v>
      </c>
      <c r="C235" t="str">
        <f>VLOOKUP(B235,'Dictionnaire des variables'!$B:$C,2,0)</f>
        <v>Nombre de professions intermédiaires actifs occupés de 15 à 64 ans</v>
      </c>
    </row>
    <row r="236" spans="2:3" hidden="1" x14ac:dyDescent="0.25">
      <c r="B236" t="s">
        <v>150</v>
      </c>
      <c r="C236" t="str">
        <f>VLOOKUP(B236,'Dictionnaire des variables'!$B:$C,2,0)</f>
        <v>Nombre d'employés actifs occupés de 15 à 64 ans</v>
      </c>
    </row>
    <row r="237" spans="2:3" hidden="1" x14ac:dyDescent="0.25">
      <c r="B237" t="s">
        <v>151</v>
      </c>
      <c r="C237" t="str">
        <f>VLOOKUP(B237,'Dictionnaire des variables'!$B:$C,2,0)</f>
        <v>Nombre d'ouvriers actifs occupés de 15 à 64 ans</v>
      </c>
    </row>
    <row r="238" spans="2:3" hidden="1" x14ac:dyDescent="0.25">
      <c r="B238" t="s">
        <v>152</v>
      </c>
      <c r="C238" t="str">
        <f>VLOOKUP(B238,'Dictionnaire des variables'!$B:$C,2,0)</f>
        <v>Nombre de personnes actives occupées de 15 ans ou plus</v>
      </c>
    </row>
    <row r="239" spans="2:3" hidden="1" x14ac:dyDescent="0.25">
      <c r="B239" t="s">
        <v>153</v>
      </c>
      <c r="C239" t="str">
        <f>VLOOKUP(B239,'Dictionnaire des variables'!$B:$C,2,0)</f>
        <v>Nombre d'hommes actifs occupés de 15 ans ou plus</v>
      </c>
    </row>
    <row r="240" spans="2:3" hidden="1" x14ac:dyDescent="0.25">
      <c r="B240" t="s">
        <v>154</v>
      </c>
      <c r="C240" t="str">
        <f>VLOOKUP(B240,'Dictionnaire des variables'!$B:$C,2,0)</f>
        <v>Nombre de femmes actives occupées de 15 ans ou plus</v>
      </c>
    </row>
    <row r="241" spans="2:3" hidden="1" x14ac:dyDescent="0.25">
      <c r="B241" t="s">
        <v>155</v>
      </c>
      <c r="C241" t="str">
        <f>VLOOKUP(B241,'Dictionnaire des variables'!$B:$C,2,0)</f>
        <v>Nombre de personnes salariées de 15 ans ou plus</v>
      </c>
    </row>
    <row r="242" spans="2:3" hidden="1" x14ac:dyDescent="0.25">
      <c r="B242" t="s">
        <v>156</v>
      </c>
      <c r="C242" t="str">
        <f>VLOOKUP(B242,'Dictionnaire des variables'!$B:$C,2,0)</f>
        <v>Nombre d'hommes salariés de 15 ans ou plus</v>
      </c>
    </row>
    <row r="243" spans="2:3" hidden="1" x14ac:dyDescent="0.25">
      <c r="B243" t="s">
        <v>157</v>
      </c>
      <c r="C243" t="str">
        <f>VLOOKUP(B243,'Dictionnaire des variables'!$B:$C,2,0)</f>
        <v>Nombre de femmes salariées de 15 ans ou plus</v>
      </c>
    </row>
    <row r="244" spans="2:3" hidden="1" x14ac:dyDescent="0.25">
      <c r="B244" t="s">
        <v>158</v>
      </c>
      <c r="C244" t="str">
        <f>VLOOKUP(B244,'Dictionnaire des variables'!$B:$C,2,0)</f>
        <v>Nombre de personnes non-salariées de 15 ans ou plus</v>
      </c>
    </row>
    <row r="245" spans="2:3" hidden="1" x14ac:dyDescent="0.25">
      <c r="B245" t="s">
        <v>159</v>
      </c>
      <c r="C245" t="str">
        <f>VLOOKUP(B245,'Dictionnaire des variables'!$B:$C,2,0)</f>
        <v>Nombre d'hommes non-salariés de 15 ans ou plus</v>
      </c>
    </row>
    <row r="246" spans="2:3" hidden="1" x14ac:dyDescent="0.25">
      <c r="B246" t="s">
        <v>160</v>
      </c>
      <c r="C246" t="str">
        <f>VLOOKUP(B246,'Dictionnaire des variables'!$B:$C,2,0)</f>
        <v>Nombre de femmes non-salariées de 15 ans ou plus</v>
      </c>
    </row>
    <row r="247" spans="2:3" hidden="1" x14ac:dyDescent="0.25">
      <c r="B247" t="s">
        <v>161</v>
      </c>
      <c r="C247" t="str">
        <f>VLOOKUP(B247,'Dictionnaire des variables'!$B:$C,2,0)</f>
        <v>Nombre de personnes actives occupées de 15 ans ou plus à temps partiel</v>
      </c>
    </row>
    <row r="248" spans="2:3" hidden="1" x14ac:dyDescent="0.25">
      <c r="B248" t="s">
        <v>162</v>
      </c>
      <c r="C248" t="str">
        <f>VLOOKUP(B248,'Dictionnaire des variables'!$B:$C,2,0)</f>
        <v>Nombre de personnes salariées de 15 ans ou plus à temps partiel</v>
      </c>
    </row>
    <row r="249" spans="2:3" hidden="1" x14ac:dyDescent="0.25">
      <c r="B249" t="s">
        <v>163</v>
      </c>
      <c r="C249" t="str">
        <f>VLOOKUP(B249,'Dictionnaire des variables'!$B:$C,2,0)</f>
        <v>Nombre d'hommes salariés de 15 ans ou plus à temps partiel</v>
      </c>
    </row>
    <row r="250" spans="2:3" hidden="1" x14ac:dyDescent="0.25">
      <c r="B250" t="s">
        <v>164</v>
      </c>
      <c r="C250" t="str">
        <f>VLOOKUP(B250,'Dictionnaire des variables'!$B:$C,2,0)</f>
        <v>Nombre de femmes salariées de 15 ans ou plus à temps partiel</v>
      </c>
    </row>
    <row r="251" spans="2:3" hidden="1" x14ac:dyDescent="0.25">
      <c r="B251" t="s">
        <v>165</v>
      </c>
      <c r="C251" t="str">
        <f>VLOOKUP(B251,'Dictionnaire des variables'!$B:$C,2,0)</f>
        <v>Nombre de personnes non-salariées de 15 ans ou plus à temps partiel</v>
      </c>
    </row>
    <row r="252" spans="2:3" hidden="1" x14ac:dyDescent="0.25">
      <c r="B252" t="s">
        <v>166</v>
      </c>
      <c r="C252" t="str">
        <f>VLOOKUP(B252,'Dictionnaire des variables'!$B:$C,2,0)</f>
        <v>Nombre de personnes salariées de 15 ans ou plus titulaires de la fonction publique ou d'un contrat à durée indéterminée</v>
      </c>
    </row>
    <row r="253" spans="2:3" hidden="1" x14ac:dyDescent="0.25">
      <c r="B253" t="s">
        <v>167</v>
      </c>
      <c r="C253" t="str">
        <f>VLOOKUP(B253,'Dictionnaire des variables'!$B:$C,2,0)</f>
        <v>Nombre de personnes salariées de 15 ans ou plus ayant un contrat à durée déterminée</v>
      </c>
    </row>
    <row r="254" spans="2:3" hidden="1" x14ac:dyDescent="0.25">
      <c r="B254" t="s">
        <v>168</v>
      </c>
      <c r="C254" t="str">
        <f>VLOOKUP(B254,'Dictionnaire des variables'!$B:$C,2,0)</f>
        <v>Nombre de personnes salariées de 15 ans ou plus intérimaires</v>
      </c>
    </row>
    <row r="255" spans="2:3" hidden="1" x14ac:dyDescent="0.25">
      <c r="B255" t="s">
        <v>169</v>
      </c>
      <c r="C255" t="str">
        <f>VLOOKUP(B255,'Dictionnaire des variables'!$B:$C,2,0)</f>
        <v>Nombre de personnes salariées de 15 ans ou plus Emplois aidés</v>
      </c>
    </row>
    <row r="256" spans="2:3" hidden="1" x14ac:dyDescent="0.25">
      <c r="B256" t="s">
        <v>170</v>
      </c>
      <c r="C256" t="str">
        <f>VLOOKUP(B256,'Dictionnaire des variables'!$B:$C,2,0)</f>
        <v>Nombre de personnes salariées de 15 ans ou plus en apprentissage ou stagiaires</v>
      </c>
    </row>
    <row r="257" spans="2:3" hidden="1" x14ac:dyDescent="0.25">
      <c r="B257" t="s">
        <v>171</v>
      </c>
      <c r="C257" t="str">
        <f>VLOOKUP(B257,'Dictionnaire des variables'!$B:$C,2,0)</f>
        <v>Nombre de personnes non-salariées de 15 ans ou plus indépendants</v>
      </c>
    </row>
    <row r="258" spans="2:3" hidden="1" x14ac:dyDescent="0.25">
      <c r="B258" t="s">
        <v>172</v>
      </c>
      <c r="C258" t="str">
        <f>VLOOKUP(B258,'Dictionnaire des variables'!$B:$C,2,0)</f>
        <v>Nombre de personnes non-salariées de 15 ans ou plus employeurs</v>
      </c>
    </row>
    <row r="259" spans="2:3" hidden="1" x14ac:dyDescent="0.25">
      <c r="B259" t="s">
        <v>173</v>
      </c>
      <c r="C259" t="str">
        <f>VLOOKUP(B259,'Dictionnaire des variables'!$B:$C,2,0)</f>
        <v>Nombre de personnes non-salariées de 15 ans ou plus aides familiaux</v>
      </c>
    </row>
    <row r="260" spans="2:3" hidden="1" x14ac:dyDescent="0.25">
      <c r="B260" t="s">
        <v>174</v>
      </c>
      <c r="C260" t="str">
        <f>VLOOKUP(B260,'Dictionnaire des variables'!$B:$C,2,0)</f>
        <v>Nombre d'actifs occupés de 15 ans ou plus qui travaillent dans la commune de résidence</v>
      </c>
    </row>
    <row r="261" spans="2:3" hidden="1" x14ac:dyDescent="0.25">
      <c r="B261" t="s">
        <v>175</v>
      </c>
      <c r="C261" t="str">
        <f>VLOOKUP(B261,'Dictionnaire des variables'!$B:$C,2,0)</f>
        <v>Nombre d'actifs occupés de 15 ans ou plus qui travaillent dans une autre commune que la commune de résidence</v>
      </c>
    </row>
    <row r="262" spans="2:3" hidden="1" x14ac:dyDescent="0.25">
      <c r="B262" t="s">
        <v>176</v>
      </c>
      <c r="C262" t="str">
        <f>VLOOKUP(B262,'Dictionnaire des variables'!$B:$C,2,0)</f>
        <v>Nombre d'actifs occupés de 15 ans ou plus qui travaillent dans une autre commune située dans le département de résidence</v>
      </c>
    </row>
    <row r="263" spans="2:3" hidden="1" x14ac:dyDescent="0.25">
      <c r="B263" t="s">
        <v>177</v>
      </c>
      <c r="C263" t="str">
        <f>VLOOKUP(B263,'Dictionnaire des variables'!$B:$C,2,0)</f>
        <v>Nombre d'actifs occupés de 15 ans ou plus qui travaillent dans une autre commune située dans un autre département de la région de résidence</v>
      </c>
    </row>
    <row r="264" spans="2:3" hidden="1" x14ac:dyDescent="0.25">
      <c r="B264" t="s">
        <v>178</v>
      </c>
      <c r="C264" t="str">
        <f>VLOOKUP(B264,'Dictionnaire des variables'!$B:$C,2,0)</f>
        <v>Nombre d'actifs occupés de 15 ans ou plus qui travaillent dans une commune située dans une autre région en France métropolitaine</v>
      </c>
    </row>
    <row r="265" spans="2:3" hidden="1" x14ac:dyDescent="0.25">
      <c r="B265" t="s">
        <v>179</v>
      </c>
      <c r="C265" t="str">
        <f>VLOOKUP(B265,'Dictionnaire des variables'!$B:$C,2,0)</f>
        <v>Nombre d'actifs occupés de 15 ans ou plus qui travaillent ailleurs, hors de France métropolitaine (Département d'outre-mer, Collectivité d'outre-mer ou à l'étranger)</v>
      </c>
    </row>
    <row r="266" spans="2:3" hidden="1" x14ac:dyDescent="0.25">
      <c r="B266" t="s">
        <v>180</v>
      </c>
      <c r="C266" t="str">
        <f>VLOOKUP(B266,'Dictionnaire des variables'!$B:$C,2,0)</f>
        <v>Nombre d'actifs occupés de 15 ans ou plus</v>
      </c>
    </row>
    <row r="267" spans="2:3" hidden="1" x14ac:dyDescent="0.25">
      <c r="B267" t="s">
        <v>181</v>
      </c>
      <c r="C267" t="str">
        <f>VLOOKUP(B267,'Dictionnaire des variables'!$B:$C,2,0)</f>
        <v>Nombre d'actifs occupés de 15 ans ou plus qui n'utilisent pas de moyen de transport pour aller travailler</v>
      </c>
    </row>
    <row r="268" spans="2:3" hidden="1" x14ac:dyDescent="0.25">
      <c r="B268" t="s">
        <v>182</v>
      </c>
      <c r="C268" t="str">
        <f>VLOOKUP(B268,'Dictionnaire des variables'!$B:$C,2,0)</f>
        <v>Nombre d'actifs occupés de 15 ans ou plus qui vont travailler principalement à pied</v>
      </c>
    </row>
    <row r="269" spans="2:3" hidden="1" x14ac:dyDescent="0.25">
      <c r="B269" t="s">
        <v>183</v>
      </c>
      <c r="C269" t="str">
        <f>VLOOKUP(B269,'Dictionnaire des variables'!$B:$C,2,0)</f>
        <v>Nombre d'actifs occupés de 15 ans ou plus qui utilisent principalement un deux roues pour aller travailler</v>
      </c>
    </row>
    <row r="270" spans="2:3" hidden="1" x14ac:dyDescent="0.25">
      <c r="B270" t="s">
        <v>184</v>
      </c>
      <c r="C270" t="str">
        <f>VLOOKUP(B270,'Dictionnaire des variables'!$B:$C,2,0)</f>
        <v>Nombre d'actifs occupés de 15 ans ou plus qui utilisent principalement une voiture ou un camion pour aller travailler</v>
      </c>
    </row>
    <row r="271" spans="2:3" hidden="1" x14ac:dyDescent="0.25">
      <c r="B271" t="s">
        <v>185</v>
      </c>
      <c r="C271" t="str">
        <f>VLOOKUP(B271,'Dictionnaire des variables'!$B:$C,2,0)</f>
        <v>Nombre d'actifs occupés de 15 ans ou plus qui utilisent principalement les transports en commun pour aller travailler</v>
      </c>
    </row>
    <row r="272" spans="2:3" hidden="1" x14ac:dyDescent="0.25">
      <c r="B272" t="s">
        <v>186</v>
      </c>
      <c r="C272" t="str">
        <f>VLOOKUP(B272,'Dictionnaire des variables'!$B:$C,2,0)</f>
        <v>Nombre de ménages</v>
      </c>
    </row>
    <row r="273" spans="2:3" hidden="1" x14ac:dyDescent="0.25">
      <c r="B273" t="s">
        <v>187</v>
      </c>
      <c r="C273" t="str">
        <f>VLOOKUP(B273,'Dictionnaire des variables'!$B:$C,2,0)</f>
        <v>Nombre de ménages d'une personne</v>
      </c>
    </row>
    <row r="274" spans="2:3" hidden="1" x14ac:dyDescent="0.25">
      <c r="B274" t="s">
        <v>188</v>
      </c>
      <c r="C274" t="str">
        <f>VLOOKUP(B274,'Dictionnaire des variables'!$B:$C,2,0)</f>
        <v>Nombre de ménages composés d'hommes seuls</v>
      </c>
    </row>
    <row r="275" spans="2:3" hidden="1" x14ac:dyDescent="0.25">
      <c r="B275" t="s">
        <v>189</v>
      </c>
      <c r="C275" t="str">
        <f>VLOOKUP(B275,'Dictionnaire des variables'!$B:$C,2,0)</f>
        <v>Nombre de ménages composés de femmes seules</v>
      </c>
    </row>
    <row r="276" spans="2:3" hidden="1" x14ac:dyDescent="0.25">
      <c r="B276" t="s">
        <v>190</v>
      </c>
      <c r="C276" t="str">
        <f>VLOOKUP(B276,'Dictionnaire des variables'!$B:$C,2,0)</f>
        <v>Nombre de ménages autres sans famille</v>
      </c>
    </row>
    <row r="277" spans="2:3" hidden="1" x14ac:dyDescent="0.25">
      <c r="B277" t="s">
        <v>191</v>
      </c>
      <c r="C277" t="str">
        <f>VLOOKUP(B277,'Dictionnaire des variables'!$B:$C,2,0)</f>
        <v>Nombre de ménages avec famille(s)</v>
      </c>
    </row>
    <row r="278" spans="2:3" hidden="1" x14ac:dyDescent="0.25">
      <c r="B278" t="s">
        <v>192</v>
      </c>
      <c r="C278" t="str">
        <f>VLOOKUP(B278,'Dictionnaire des variables'!$B:$C,2,0)</f>
        <v>Nombre de ménages dont la famille principale est formée d'un couple sans enfant</v>
      </c>
    </row>
    <row r="279" spans="2:3" hidden="1" x14ac:dyDescent="0.25">
      <c r="B279" t="s">
        <v>193</v>
      </c>
      <c r="C279" t="str">
        <f>VLOOKUP(B279,'Dictionnaire des variables'!$B:$C,2,0)</f>
        <v>Nombre de ménages dont la famille principale est formée d'un couple avec enfant(s)</v>
      </c>
    </row>
    <row r="280" spans="2:3" hidden="1" x14ac:dyDescent="0.25">
      <c r="B280" t="s">
        <v>194</v>
      </c>
      <c r="C280" t="str">
        <f>VLOOKUP(B280,'Dictionnaire des variables'!$B:$C,2,0)</f>
        <v>Nombre de ménages dont la famille principale est une famille monoparentale</v>
      </c>
    </row>
    <row r="281" spans="2:3" hidden="1" x14ac:dyDescent="0.25">
      <c r="B281" t="s">
        <v>195</v>
      </c>
      <c r="C281" t="str">
        <f>VLOOKUP(B281,'Dictionnaire des variables'!$B:$C,2,0)</f>
        <v>Nombre de personnes des ménages</v>
      </c>
    </row>
    <row r="282" spans="2:3" hidden="1" x14ac:dyDescent="0.25">
      <c r="B282" t="s">
        <v>196</v>
      </c>
      <c r="C282" t="str">
        <f>VLOOKUP(B282,'Dictionnaire des variables'!$B:$C,2,0)</f>
        <v>Nombre de personnes des ménages d'une personne</v>
      </c>
    </row>
    <row r="283" spans="2:3" hidden="1" x14ac:dyDescent="0.25">
      <c r="B283" t="s">
        <v>197</v>
      </c>
      <c r="C283" t="str">
        <f>VLOOKUP(B283,'Dictionnaire des variables'!$B:$C,2,0)</f>
        <v>Nombre de personnes des ménages composés d'hommes seuls</v>
      </c>
    </row>
    <row r="284" spans="2:3" hidden="1" x14ac:dyDescent="0.25">
      <c r="B284" t="s">
        <v>198</v>
      </c>
      <c r="C284" t="str">
        <f>VLOOKUP(B284,'Dictionnaire des variables'!$B:$C,2,0)</f>
        <v>Nombre de personnes des ménages composés de femmes seules</v>
      </c>
    </row>
    <row r="285" spans="2:3" hidden="1" x14ac:dyDescent="0.25">
      <c r="B285" t="s">
        <v>199</v>
      </c>
      <c r="C285" t="str">
        <f>VLOOKUP(B285,'Dictionnaire des variables'!$B:$C,2,0)</f>
        <v>Nombre de personnes des ménages Autres sans famille</v>
      </c>
    </row>
    <row r="286" spans="2:3" hidden="1" x14ac:dyDescent="0.25">
      <c r="B286" t="s">
        <v>200</v>
      </c>
      <c r="C286" t="str">
        <f>VLOOKUP(B286,'Dictionnaire des variables'!$B:$C,2,0)</f>
        <v>Nombre de personnes des ménages avec famille(s)</v>
      </c>
    </row>
    <row r="287" spans="2:3" hidden="1" x14ac:dyDescent="0.25">
      <c r="B287" t="s">
        <v>201</v>
      </c>
      <c r="C287" t="str">
        <f>VLOOKUP(B287,'Dictionnaire des variables'!$B:$C,2,0)</f>
        <v>Nombre de personnes des ménages dont la famille principale est un couple sans enfant</v>
      </c>
    </row>
    <row r="288" spans="2:3" hidden="1" x14ac:dyDescent="0.25">
      <c r="B288" t="s">
        <v>202</v>
      </c>
      <c r="C288" t="str">
        <f>VLOOKUP(B288,'Dictionnaire des variables'!$B:$C,2,0)</f>
        <v>Nombre de personnes des ménages dont la famille principale est un couple avec enfant(s)</v>
      </c>
    </row>
    <row r="289" spans="2:3" hidden="1" x14ac:dyDescent="0.25">
      <c r="B289" t="s">
        <v>203</v>
      </c>
      <c r="C289" t="str">
        <f>VLOOKUP(B289,'Dictionnaire des variables'!$B:$C,2,0)</f>
        <v>Nombre de personnes des ménages dont la famille principale est une famille monoparentale</v>
      </c>
    </row>
    <row r="290" spans="2:3" hidden="1" x14ac:dyDescent="0.25">
      <c r="B290" t="s">
        <v>204</v>
      </c>
      <c r="C290" t="str">
        <f>VLOOKUP(B290,'Dictionnaire des variables'!$B:$C,2,0)</f>
        <v>Nombre de personnes de 15 ans ou plus</v>
      </c>
    </row>
    <row r="291" spans="2:3" hidden="1" x14ac:dyDescent="0.25">
      <c r="B291" t="s">
        <v>943</v>
      </c>
      <c r="C291" t="str">
        <f>VLOOKUP(B291,'Dictionnaire des variables'!$B:$C,2,0)</f>
        <v>Nombre de personnes de 55 à 79 ans</v>
      </c>
    </row>
    <row r="292" spans="2:3" hidden="1" x14ac:dyDescent="0.25">
      <c r="B292" t="s">
        <v>205</v>
      </c>
      <c r="C292" t="str">
        <f>VLOOKUP(B292,'Dictionnaire des variables'!$B:$C,2,0)</f>
        <v>Nombre de personnes de 80 ans ou plus</v>
      </c>
    </row>
    <row r="293" spans="2:3" hidden="1" x14ac:dyDescent="0.25">
      <c r="B293" t="s">
        <v>206</v>
      </c>
      <c r="C293" t="str">
        <f>VLOOKUP(B293,'Dictionnaire des variables'!$B:$C,2,0)</f>
        <v>Nombre de personnes des ménages de 15 ans ou plus</v>
      </c>
    </row>
    <row r="294" spans="2:3" hidden="1" x14ac:dyDescent="0.25">
      <c r="B294" t="s">
        <v>207</v>
      </c>
      <c r="C294" t="str">
        <f>VLOOKUP(B294,'Dictionnaire des variables'!$B:$C,2,0)</f>
        <v>Nombre de personnes des ménages de 15 à 24 ans</v>
      </c>
    </row>
    <row r="295" spans="2:3" hidden="1" x14ac:dyDescent="0.25">
      <c r="B295" t="s">
        <v>208</v>
      </c>
      <c r="C295" t="str">
        <f>VLOOKUP(B295,'Dictionnaire des variables'!$B:$C,2,0)</f>
        <v>Nombre de personnes des ménages de 25 à 54 ans</v>
      </c>
    </row>
    <row r="296" spans="2:3" hidden="1" x14ac:dyDescent="0.25">
      <c r="B296" t="s">
        <v>209</v>
      </c>
      <c r="C296" t="str">
        <f>VLOOKUP(B296,'Dictionnaire des variables'!$B:$C,2,0)</f>
        <v>Nombre de personnes des ménages de 55 à 79 ans</v>
      </c>
    </row>
    <row r="297" spans="2:3" hidden="1" x14ac:dyDescent="0.25">
      <c r="B297" t="s">
        <v>210</v>
      </c>
      <c r="C297" t="str">
        <f>VLOOKUP(B297,'Dictionnaire des variables'!$B:$C,2,0)</f>
        <v>Nombre de personnes des ménages de 80 ans ou plus</v>
      </c>
    </row>
    <row r="298" spans="2:3" hidden="1" x14ac:dyDescent="0.25">
      <c r="B298" t="s">
        <v>211</v>
      </c>
      <c r="C298" t="str">
        <f>VLOOKUP(B298,'Dictionnaire des variables'!$B:$C,2,0)</f>
        <v>Nombre de personnes de 15 ans ou plus vivant seules</v>
      </c>
    </row>
    <row r="299" spans="2:3" hidden="1" x14ac:dyDescent="0.25">
      <c r="B299" t="s">
        <v>212</v>
      </c>
      <c r="C299" t="str">
        <f>VLOOKUP(B299,'Dictionnaire des variables'!$B:$C,2,0)</f>
        <v>Nombre de personnes de 15 à 24 ans vivant seules</v>
      </c>
    </row>
    <row r="300" spans="2:3" hidden="1" x14ac:dyDescent="0.25">
      <c r="B300" t="s">
        <v>213</v>
      </c>
      <c r="C300" t="str">
        <f>VLOOKUP(B300,'Dictionnaire des variables'!$B:$C,2,0)</f>
        <v>Nombre de personnes de 25 à 54 ans vivant seules</v>
      </c>
    </row>
    <row r="301" spans="2:3" hidden="1" x14ac:dyDescent="0.25">
      <c r="B301" t="s">
        <v>214</v>
      </c>
      <c r="C301" t="str">
        <f>VLOOKUP(B301,'Dictionnaire des variables'!$B:$C,2,0)</f>
        <v>Nombre de personnes de 55 à 79 ans vivant seules</v>
      </c>
    </row>
    <row r="302" spans="2:3" hidden="1" x14ac:dyDescent="0.25">
      <c r="B302" t="s">
        <v>215</v>
      </c>
      <c r="C302" t="str">
        <f>VLOOKUP(B302,'Dictionnaire des variables'!$B:$C,2,0)</f>
        <v>Nombre de personnes de 80 ans ou plus vivant seules</v>
      </c>
    </row>
    <row r="303" spans="2:3" hidden="1" x14ac:dyDescent="0.25">
      <c r="B303" t="s">
        <v>216</v>
      </c>
      <c r="C303" t="str">
        <f>VLOOKUP(B303,'Dictionnaire des variables'!$B:$C,2,0)</f>
        <v>Nombre de personnes de 15 ans ou plus mariées</v>
      </c>
    </row>
    <row r="304" spans="2:3" hidden="1" x14ac:dyDescent="0.25">
      <c r="B304" t="s">
        <v>217</v>
      </c>
      <c r="C304" t="str">
        <f>VLOOKUP(B304,'Dictionnaire des variables'!$B:$C,2,0)</f>
        <v>Nombre de personnes de 15 ans ou plus non mariées</v>
      </c>
    </row>
    <row r="305" spans="2:3" hidden="1" x14ac:dyDescent="0.25">
      <c r="B305" t="s">
        <v>218</v>
      </c>
      <c r="C305" t="str">
        <f>VLOOKUP(B305,'Dictionnaire des variables'!$B:$C,2,0)</f>
        <v>Nombre de ménages dont la personne de référence est Agriculteur exploitant</v>
      </c>
    </row>
    <row r="306" spans="2:3" hidden="1" x14ac:dyDescent="0.25">
      <c r="B306" t="s">
        <v>219</v>
      </c>
      <c r="C306" t="str">
        <f>VLOOKUP(B306,'Dictionnaire des variables'!$B:$C,2,0)</f>
        <v>Nombre de ménages dont la personne de référence est Artisan, Commerçant, Chef d'entreprise</v>
      </c>
    </row>
    <row r="307" spans="2:3" hidden="1" x14ac:dyDescent="0.25">
      <c r="B307" t="s">
        <v>220</v>
      </c>
      <c r="C307" t="str">
        <f>VLOOKUP(B307,'Dictionnaire des variables'!$B:$C,2,0)</f>
        <v>Nombre de ménages dont la personne de référence est Cadre ou exerce une Profession intellectuelle supérieure</v>
      </c>
    </row>
    <row r="308" spans="2:3" hidden="1" x14ac:dyDescent="0.25">
      <c r="B308" t="s">
        <v>221</v>
      </c>
      <c r="C308" t="str">
        <f>VLOOKUP(B308,'Dictionnaire des variables'!$B:$C,2,0)</f>
        <v>Nombre de ménages dont la personne de référence exerce une Profession intermédiaire</v>
      </c>
    </row>
    <row r="309" spans="2:3" hidden="1" x14ac:dyDescent="0.25">
      <c r="B309" t="s">
        <v>222</v>
      </c>
      <c r="C309" t="str">
        <f>VLOOKUP(B309,'Dictionnaire des variables'!$B:$C,2,0)</f>
        <v>Nombre de ménages dont la personne de référence est Employé</v>
      </c>
    </row>
    <row r="310" spans="2:3" hidden="1" x14ac:dyDescent="0.25">
      <c r="B310" t="s">
        <v>223</v>
      </c>
      <c r="C310" t="str">
        <f>VLOOKUP(B310,'Dictionnaire des variables'!$B:$C,2,0)</f>
        <v>Nombre de ménages dont la personne de référence est Ouvrier</v>
      </c>
    </row>
    <row r="311" spans="2:3" hidden="1" x14ac:dyDescent="0.25">
      <c r="B311" t="s">
        <v>224</v>
      </c>
      <c r="C311" t="str">
        <f>VLOOKUP(B311,'Dictionnaire des variables'!$B:$C,2,0)</f>
        <v>Nombre de ménages dont la personne de référence est Retraité</v>
      </c>
    </row>
    <row r="312" spans="2:3" hidden="1" x14ac:dyDescent="0.25">
      <c r="B312" t="s">
        <v>225</v>
      </c>
      <c r="C312" t="str">
        <f>VLOOKUP(B312,'Dictionnaire des variables'!$B:$C,2,0)</f>
        <v>Nombre de ménages dont la personne de référence est Autre sans activité professionnelle</v>
      </c>
    </row>
    <row r="313" spans="2:3" hidden="1" x14ac:dyDescent="0.25">
      <c r="B313" t="s">
        <v>226</v>
      </c>
      <c r="C313" t="str">
        <f>VLOOKUP(B313,'Dictionnaire des variables'!$B:$C,2,0)</f>
        <v>Nombre de personnes des ménages dont la personne de référence est Agriculteur exploitant</v>
      </c>
    </row>
    <row r="314" spans="2:3" hidden="1" x14ac:dyDescent="0.25">
      <c r="B314" t="s">
        <v>227</v>
      </c>
      <c r="C314" t="str">
        <f>VLOOKUP(B314,'Dictionnaire des variables'!$B:$C,2,0)</f>
        <v>Nombre de personnes des ménages dont la personne de référence est Artisan, Commerçant, Chef d'entreprise</v>
      </c>
    </row>
    <row r="315" spans="2:3" hidden="1" x14ac:dyDescent="0.25">
      <c r="B315" t="s">
        <v>228</v>
      </c>
      <c r="C315" t="str">
        <f>VLOOKUP(B315,'Dictionnaire des variables'!$B:$C,2,0)</f>
        <v>Nombre de personnes des ménages dont la personne de référence est Cadre ou exerce une Profession intellectuelle supérieure</v>
      </c>
    </row>
    <row r="316" spans="2:3" hidden="1" x14ac:dyDescent="0.25">
      <c r="B316" t="s">
        <v>229</v>
      </c>
      <c r="C316" t="str">
        <f>VLOOKUP(B316,'Dictionnaire des variables'!$B:$C,2,0)</f>
        <v>Nombre de personnes des ménages dont la personne de référence exerce une Profession intermédiaire</v>
      </c>
    </row>
    <row r="317" spans="2:3" hidden="1" x14ac:dyDescent="0.25">
      <c r="B317" t="s">
        <v>230</v>
      </c>
      <c r="C317" t="str">
        <f>VLOOKUP(B317,'Dictionnaire des variables'!$B:$C,2,0)</f>
        <v>Nombre de personnes des ménages dont la personne de référence est Employé</v>
      </c>
    </row>
    <row r="318" spans="2:3" hidden="1" x14ac:dyDescent="0.25">
      <c r="B318" t="s">
        <v>231</v>
      </c>
      <c r="C318" t="str">
        <f>VLOOKUP(B318,'Dictionnaire des variables'!$B:$C,2,0)</f>
        <v>Nombre de personnes des ménages dont la personne de référence est Ouvrier</v>
      </c>
    </row>
    <row r="319" spans="2:3" hidden="1" x14ac:dyDescent="0.25">
      <c r="B319" t="s">
        <v>232</v>
      </c>
      <c r="C319" t="str">
        <f>VLOOKUP(B319,'Dictionnaire des variables'!$B:$C,2,0)</f>
        <v>Nombre de personnes des ménages dont la personne de référence est Retraité</v>
      </c>
    </row>
    <row r="320" spans="2:3" hidden="1" x14ac:dyDescent="0.25">
      <c r="B320" t="s">
        <v>233</v>
      </c>
      <c r="C320" t="str">
        <f>VLOOKUP(B320,'Dictionnaire des variables'!$B:$C,2,0)</f>
        <v>Nombre de personnes des ménages dont la personne de référence est Autre sans activité professionnelle</v>
      </c>
    </row>
    <row r="321" spans="2:3" hidden="1" x14ac:dyDescent="0.25">
      <c r="B321" t="s">
        <v>234</v>
      </c>
      <c r="C321" t="str">
        <f>VLOOKUP(B321,'Dictionnaire des variables'!$B:$C,2,0)</f>
        <v>Nombre de familles</v>
      </c>
    </row>
    <row r="322" spans="2:3" hidden="1" x14ac:dyDescent="0.25">
      <c r="B322" t="s">
        <v>235</v>
      </c>
      <c r="C322" t="str">
        <f>VLOOKUP(B322,'Dictionnaire des variables'!$B:$C,2,0)</f>
        <v>Nombre de familles formées d'un couple avec enfant(s)</v>
      </c>
    </row>
    <row r="323" spans="2:3" hidden="1" x14ac:dyDescent="0.25">
      <c r="B323" t="s">
        <v>236</v>
      </c>
      <c r="C323" t="str">
        <f>VLOOKUP(B323,'Dictionnaire des variables'!$B:$C,2,0)</f>
        <v>Nombre de familles monoparentales</v>
      </c>
    </row>
    <row r="324" spans="2:3" hidden="1" x14ac:dyDescent="0.25">
      <c r="B324" t="s">
        <v>237</v>
      </c>
      <c r="C324" t="str">
        <f>VLOOKUP(B324,'Dictionnaire des variables'!$B:$C,2,0)</f>
        <v>Nombre de familles formées d'un couple sans enfant</v>
      </c>
    </row>
    <row r="325" spans="2:3" hidden="1" x14ac:dyDescent="0.25">
      <c r="B325" t="s">
        <v>238</v>
      </c>
      <c r="C325" t="str">
        <f>VLOOKUP(B325,'Dictionnaire des variables'!$B:$C,2,0)</f>
        <v>Nombre de familles avec 0 enfant de moins de 25 ans</v>
      </c>
    </row>
    <row r="326" spans="2:3" hidden="1" x14ac:dyDescent="0.25">
      <c r="B326" t="s">
        <v>239</v>
      </c>
      <c r="C326" t="str">
        <f>VLOOKUP(B326,'Dictionnaire des variables'!$B:$C,2,0)</f>
        <v>Nombre de familles avec 1 enfant de moins de 25 ans</v>
      </c>
    </row>
    <row r="327" spans="2:3" hidden="1" x14ac:dyDescent="0.25">
      <c r="B327" t="s">
        <v>240</v>
      </c>
      <c r="C327" t="str">
        <f>VLOOKUP(B327,'Dictionnaire des variables'!$B:$C,2,0)</f>
        <v>Nombre de familles avec 2 enfants de moins de 25 ans</v>
      </c>
    </row>
    <row r="328" spans="2:3" hidden="1" x14ac:dyDescent="0.25">
      <c r="B328" t="s">
        <v>241</v>
      </c>
      <c r="C328" t="str">
        <f>VLOOKUP(B328,'Dictionnaire des variables'!$B:$C,2,0)</f>
        <v>Nombre de familles avec 3 enfants de moins de 25 ans</v>
      </c>
    </row>
    <row r="329" spans="2:3" hidden="1" x14ac:dyDescent="0.25">
      <c r="B329" t="s">
        <v>242</v>
      </c>
      <c r="C329" t="str">
        <f>VLOOKUP(B329,'Dictionnaire des variables'!$B:$C,2,0)</f>
        <v>Nombre de familles avec 4 enfants ou plus de moins de 25 ans</v>
      </c>
    </row>
    <row r="330" spans="2:3" hidden="1" x14ac:dyDescent="0.25">
      <c r="B330" t="s">
        <v>243</v>
      </c>
      <c r="C330" t="str">
        <f>VLOOKUP(B330,'Dictionnaire des variables'!$B:$C,2,0)</f>
        <v>Nombre de personnes de 2 à 5 ans</v>
      </c>
    </row>
    <row r="331" spans="2:3" hidden="1" x14ac:dyDescent="0.25">
      <c r="B331" t="s">
        <v>244</v>
      </c>
      <c r="C331" t="str">
        <f>VLOOKUP(B331,'Dictionnaire des variables'!$B:$C,2,0)</f>
        <v>Nombre de personnes de 6 à 10 ans</v>
      </c>
    </row>
    <row r="332" spans="2:3" hidden="1" x14ac:dyDescent="0.25">
      <c r="B332" t="s">
        <v>245</v>
      </c>
      <c r="C332" t="str">
        <f>VLOOKUP(B332,'Dictionnaire des variables'!$B:$C,2,0)</f>
        <v>Nombre de personnes de 11 à 14 ans</v>
      </c>
    </row>
    <row r="333" spans="2:3" hidden="1" x14ac:dyDescent="0.25">
      <c r="B333" t="s">
        <v>246</v>
      </c>
      <c r="C333" t="str">
        <f>VLOOKUP(B333,'Dictionnaire des variables'!$B:$C,2,0)</f>
        <v>Nombre de personnes de 15 à 17 ans</v>
      </c>
    </row>
    <row r="334" spans="2:3" hidden="1" x14ac:dyDescent="0.25">
      <c r="B334" t="s">
        <v>247</v>
      </c>
      <c r="C334" t="str">
        <f>VLOOKUP(B334,'Dictionnaire des variables'!$B:$C,2,0)</f>
        <v>Nombre de personnes de 18 à 24 ans</v>
      </c>
    </row>
    <row r="335" spans="2:3" hidden="1" x14ac:dyDescent="0.25">
      <c r="B335" t="s">
        <v>248</v>
      </c>
      <c r="C335" t="str">
        <f>VLOOKUP(B335,'Dictionnaire des variables'!$B:$C,2,0)</f>
        <v>Nombre de personnes de 25 à 29 ans</v>
      </c>
    </row>
    <row r="336" spans="2:3" hidden="1" x14ac:dyDescent="0.25">
      <c r="B336" t="s">
        <v>249</v>
      </c>
      <c r="C336" t="str">
        <f>VLOOKUP(B336,'Dictionnaire des variables'!$B:$C,2,0)</f>
        <v>Nombre de personnes de 30 ans ou plus</v>
      </c>
    </row>
    <row r="337" spans="2:3" hidden="1" x14ac:dyDescent="0.25">
      <c r="B337" t="s">
        <v>250</v>
      </c>
      <c r="C337" t="str">
        <f>VLOOKUP(B337,'Dictionnaire des variables'!$B:$C,2,0)</f>
        <v>Nombre de personnes scolarisées de 2 à 5 ans</v>
      </c>
    </row>
    <row r="338" spans="2:3" hidden="1" x14ac:dyDescent="0.25">
      <c r="B338" t="s">
        <v>251</v>
      </c>
      <c r="C338" t="str">
        <f>VLOOKUP(B338,'Dictionnaire des variables'!$B:$C,2,0)</f>
        <v>Nombre de personnes scolarisées de 6 à 10 ans</v>
      </c>
    </row>
    <row r="339" spans="2:3" hidden="1" x14ac:dyDescent="0.25">
      <c r="B339" t="s">
        <v>252</v>
      </c>
      <c r="C339" t="str">
        <f>VLOOKUP(B339,'Dictionnaire des variables'!$B:$C,2,0)</f>
        <v>Nombre de personnes scolarisées de 11 à 14 ans</v>
      </c>
    </row>
    <row r="340" spans="2:3" hidden="1" x14ac:dyDescent="0.25">
      <c r="B340" t="s">
        <v>253</v>
      </c>
      <c r="C340" t="str">
        <f>VLOOKUP(B340,'Dictionnaire des variables'!$B:$C,2,0)</f>
        <v>Nombre de personnes scolarisées de 15 à 17 ans</v>
      </c>
    </row>
    <row r="341" spans="2:3" hidden="1" x14ac:dyDescent="0.25">
      <c r="B341" t="s">
        <v>254</v>
      </c>
      <c r="C341" t="str">
        <f>VLOOKUP(B341,'Dictionnaire des variables'!$B:$C,2,0)</f>
        <v>Nombre de personnes scolarisées de 18 à 24 ans</v>
      </c>
    </row>
    <row r="342" spans="2:3" hidden="1" x14ac:dyDescent="0.25">
      <c r="B342" t="s">
        <v>255</v>
      </c>
      <c r="C342" t="str">
        <f>VLOOKUP(B342,'Dictionnaire des variables'!$B:$C,2,0)</f>
        <v>Nombre de personnes scolarisées de 25 à 29 ans</v>
      </c>
    </row>
    <row r="343" spans="2:3" hidden="1" x14ac:dyDescent="0.25">
      <c r="B343" t="s">
        <v>256</v>
      </c>
      <c r="C343" t="str">
        <f>VLOOKUP(B343,'Dictionnaire des variables'!$B:$C,2,0)</f>
        <v>Nombre de personnes scolarisées de 30 ans ou plus</v>
      </c>
    </row>
    <row r="344" spans="2:3" hidden="1" x14ac:dyDescent="0.25">
      <c r="B344" t="s">
        <v>257</v>
      </c>
      <c r="C344" t="str">
        <f>VLOOKUP(B344,'Dictionnaire des variables'!$B:$C,2,0)</f>
        <v>Nombre de personnes non scolarisées de 15 ans ou plus</v>
      </c>
    </row>
    <row r="345" spans="2:3" hidden="1" x14ac:dyDescent="0.25">
      <c r="B345" t="s">
        <v>258</v>
      </c>
      <c r="C345" t="str">
        <f>VLOOKUP(B345,'Dictionnaire des variables'!$B:$C,2,0)</f>
        <v>Brevet des collèges (BEPC ou DNB)</v>
      </c>
    </row>
    <row r="346" spans="2:3" hidden="1" x14ac:dyDescent="0.25">
      <c r="B346" t="s">
        <v>259</v>
      </c>
      <c r="C346" t="str">
        <f>VLOOKUP(B346,'Dictionnaire des variables'!$B:$C,2,0)</f>
        <v>CAP ou BEP</v>
      </c>
    </row>
    <row r="347" spans="2:3" hidden="1" x14ac:dyDescent="0.25">
      <c r="B347" t="s">
        <v>260</v>
      </c>
      <c r="C347" t="str">
        <f>VLOOKUP(B347,'Dictionnaire des variables'!$B:$C,2,0)</f>
        <v>Baccalauréat</v>
      </c>
    </row>
    <row r="348" spans="2:3" hidden="1" x14ac:dyDescent="0.25">
      <c r="B348" t="s">
        <v>261</v>
      </c>
      <c r="C348" t="str">
        <f>VLOOKUP(B348,'Dictionnaire des variables'!$B:$C,2,0)</f>
        <v>Diplôme enseignement supérieur</v>
      </c>
    </row>
    <row r="349" spans="2:3" hidden="1" x14ac:dyDescent="0.25">
      <c r="B349" t="s">
        <v>262</v>
      </c>
      <c r="C349" t="str">
        <f>VLOOKUP(B349,'Dictionnaire des variables'!$B:$C,2,0)</f>
        <v>Nombre d'hommes non scolarisés de 15 ans ou plus</v>
      </c>
    </row>
    <row r="350" spans="2:3" hidden="1" x14ac:dyDescent="0.25">
      <c r="B350" t="s">
        <v>263</v>
      </c>
      <c r="C350" t="str">
        <f>VLOOKUP(B350,'Dictionnaire des variables'!$B:$C,2,0)</f>
        <v>Nombre d'hommes non scolarisés de 15 ans ou plus titulaires d'aucun diplôme ou au plus un BEPC, brevet des collèges ou DNB</v>
      </c>
    </row>
    <row r="351" spans="2:3" hidden="1" x14ac:dyDescent="0.25">
      <c r="B351" t="s">
        <v>264</v>
      </c>
      <c r="C351" t="str">
        <f>VLOOKUP(B351,'Dictionnaire des variables'!$B:$C,2,0)</f>
        <v>Nombre d'hommes non scolarisés de 15 ans ou plus titulaires d'un CAP ou d'un BEP</v>
      </c>
    </row>
    <row r="352" spans="2:3" hidden="1" x14ac:dyDescent="0.25">
      <c r="B352" t="s">
        <v>265</v>
      </c>
      <c r="C352" t="str">
        <f>VLOOKUP(B352,'Dictionnaire des variables'!$B:$C,2,0)</f>
        <v>Nombre d'hommes non scolarisés de 15 ans ou plus titulaires d'un baccalauréat (général, technologique, professionnel)</v>
      </c>
    </row>
    <row r="353" spans="2:3" hidden="1" x14ac:dyDescent="0.25">
      <c r="B353" t="s">
        <v>266</v>
      </c>
      <c r="C353" t="str">
        <f>VLOOKUP(B353,'Dictionnaire des variables'!$B:$C,2,0)</f>
        <v>Nombre d'hommes non scolarisés de 15 ans ou plus titulaires d'un diplôme de l'enseignement supérieur</v>
      </c>
    </row>
    <row r="354" spans="2:3" hidden="1" x14ac:dyDescent="0.25">
      <c r="B354" t="s">
        <v>267</v>
      </c>
      <c r="C354" t="str">
        <f>VLOOKUP(B354,'Dictionnaire des variables'!$B:$C,2,0)</f>
        <v>Nombre de femmes non scolarisées de 15 ans ou plus</v>
      </c>
    </row>
    <row r="355" spans="2:3" hidden="1" x14ac:dyDescent="0.25">
      <c r="B355" t="s">
        <v>268</v>
      </c>
      <c r="C355" t="str">
        <f>VLOOKUP(B355,'Dictionnaire des variables'!$B:$C,2,0)</f>
        <v>Nombre de femmes non scolarisées de 15 ans ou plus titulaires d'aucun diplôme ou au plus un BEPC, brevet des collèges ou DNB</v>
      </c>
    </row>
    <row r="356" spans="2:3" hidden="1" x14ac:dyDescent="0.25">
      <c r="B356" t="s">
        <v>269</v>
      </c>
      <c r="C356" t="str">
        <f>VLOOKUP(B356,'Dictionnaire des variables'!$B:$C,2,0)</f>
        <v>Nombre de femmes non scolarisées de 15 ans ou plus titulaires d'un CAP ou d'un BEP</v>
      </c>
    </row>
    <row r="357" spans="2:3" hidden="1" x14ac:dyDescent="0.25">
      <c r="B357" t="s">
        <v>270</v>
      </c>
      <c r="C357" t="str">
        <f>VLOOKUP(B357,'Dictionnaire des variables'!$B:$C,2,0)</f>
        <v>Nombre de femmes non scolarisées de 15 ans ou plus titulaires d'un baccalauréat (général, technologique, professionnel)</v>
      </c>
    </row>
    <row r="358" spans="2:3" hidden="1" x14ac:dyDescent="0.25">
      <c r="B358" t="s">
        <v>271</v>
      </c>
      <c r="C358" t="str">
        <f>VLOOKUP(B358,'Dictionnaire des variables'!$B:$C,2,0)</f>
        <v>Nombre de femmes non scolarisées de 15 ans ou plus titulaires d'un diplôme de l'enseignement supérieur</v>
      </c>
    </row>
    <row r="359" spans="2:3" hidden="1" x14ac:dyDescent="0.25">
      <c r="B359" t="s">
        <v>3</v>
      </c>
      <c r="C359" t="str">
        <f>VLOOKUP(B359,'Dictionnaire des variables'!$B:$C,2,0)</f>
        <v>Population en 2013</v>
      </c>
    </row>
    <row r="360" spans="2:3" hidden="1" x14ac:dyDescent="0.25">
      <c r="B360" t="s">
        <v>272</v>
      </c>
      <c r="C360" t="str">
        <f>VLOOKUP(B360,'Dictionnaire des variables'!$B:$C,2,0)</f>
        <v>Nombre de personnes de 0 à 2 ans</v>
      </c>
    </row>
    <row r="361" spans="2:3" hidden="1" x14ac:dyDescent="0.25">
      <c r="B361" t="s">
        <v>273</v>
      </c>
      <c r="C361" t="str">
        <f>VLOOKUP(B361,'Dictionnaire des variables'!$B:$C,2,0)</f>
        <v>Nombre de personnes de 3 à 5 ans</v>
      </c>
    </row>
    <row r="362" spans="2:3" hidden="1" x14ac:dyDescent="0.25">
      <c r="B362" t="s">
        <v>274</v>
      </c>
      <c r="C362" t="str">
        <f>VLOOKUP(B362,'Dictionnaire des variables'!$B:$C,2,0)</f>
        <v>Nombre de personnes de 11 à 17 ans</v>
      </c>
    </row>
    <row r="363" spans="2:3" hidden="1" x14ac:dyDescent="0.25">
      <c r="B363" t="s">
        <v>275</v>
      </c>
      <c r="C363" t="str">
        <f>VLOOKUP(B363,'Dictionnaire des variables'!$B:$C,2,0)</f>
        <v>Nombre de personnes de 25 à 39 ans</v>
      </c>
    </row>
    <row r="364" spans="2:3" hidden="1" x14ac:dyDescent="0.25">
      <c r="B364" t="s">
        <v>276</v>
      </c>
      <c r="C364" t="str">
        <f>VLOOKUP(B364,'Dictionnaire des variables'!$B:$C,2,0)</f>
        <v>Nombre de personnes de 40 à 54 ans</v>
      </c>
    </row>
    <row r="365" spans="2:3" hidden="1" x14ac:dyDescent="0.25">
      <c r="B365" t="s">
        <v>277</v>
      </c>
      <c r="C365" t="str">
        <f>VLOOKUP(B365,'Dictionnaire des variables'!$B:$C,2,0)</f>
        <v>Nombre de personnes de 65 à 79 ans</v>
      </c>
    </row>
    <row r="366" spans="2:3" hidden="1" x14ac:dyDescent="0.25">
      <c r="B366" t="s">
        <v>944</v>
      </c>
      <c r="C366" t="str">
        <f>VLOOKUP(B366,'Dictionnaire des variables'!$B:$C,2,0)</f>
        <v>Nombre de personnes de 0 à 14 ans</v>
      </c>
    </row>
    <row r="367" spans="2:3" hidden="1" x14ac:dyDescent="0.25">
      <c r="B367" t="s">
        <v>278</v>
      </c>
      <c r="C367" t="str">
        <f>VLOOKUP(B367,'Dictionnaire des variables'!$B:$C,2,0)</f>
        <v>Nombre de personnes de 15 à 29 ans</v>
      </c>
    </row>
    <row r="368" spans="2:3" hidden="1" x14ac:dyDescent="0.25">
      <c r="B368" t="s">
        <v>279</v>
      </c>
      <c r="C368" t="str">
        <f>VLOOKUP(B368,'Dictionnaire des variables'!$B:$C,2,0)</f>
        <v>Nombre de personnes de 30 à 44 ans</v>
      </c>
    </row>
    <row r="369" spans="2:3" hidden="1" x14ac:dyDescent="0.25">
      <c r="B369" t="s">
        <v>280</v>
      </c>
      <c r="C369" t="str">
        <f>VLOOKUP(B369,'Dictionnaire des variables'!$B:$C,2,0)</f>
        <v>Nombre de personnes de 45 à 59 ans</v>
      </c>
    </row>
    <row r="370" spans="2:3" hidden="1" x14ac:dyDescent="0.25">
      <c r="B370" t="s">
        <v>281</v>
      </c>
      <c r="C370" t="str">
        <f>VLOOKUP(B370,'Dictionnaire des variables'!$B:$C,2,0)</f>
        <v>Nombre de personnes de 60 à 74 ans</v>
      </c>
    </row>
    <row r="371" spans="2:3" hidden="1" x14ac:dyDescent="0.25">
      <c r="B371" t="s">
        <v>282</v>
      </c>
      <c r="C371" t="str">
        <f>VLOOKUP(B371,'Dictionnaire des variables'!$B:$C,2,0)</f>
        <v>Nombre de personnes de 75 ans ou plus</v>
      </c>
    </row>
    <row r="372" spans="2:3" hidden="1" x14ac:dyDescent="0.25">
      <c r="B372" t="s">
        <v>283</v>
      </c>
      <c r="C372" t="str">
        <f>VLOOKUP(B372,'Dictionnaire des variables'!$B:$C,2,0)</f>
        <v>Nombre de personnes de 0 à 19 ans</v>
      </c>
    </row>
    <row r="373" spans="2:3" hidden="1" x14ac:dyDescent="0.25">
      <c r="B373" t="s">
        <v>284</v>
      </c>
      <c r="C373" t="str">
        <f>VLOOKUP(B373,'Dictionnaire des variables'!$B:$C,2,0)</f>
        <v>Nombre de personnes de 20 à 64 ans</v>
      </c>
    </row>
    <row r="374" spans="2:3" hidden="1" x14ac:dyDescent="0.25">
      <c r="B374" t="s">
        <v>285</v>
      </c>
      <c r="C374" t="str">
        <f>VLOOKUP(B374,'Dictionnaire des variables'!$B:$C,2,0)</f>
        <v>Nombre de personnes de 65 ans ou plus</v>
      </c>
    </row>
    <row r="375" spans="2:3" hidden="1" x14ac:dyDescent="0.25">
      <c r="B375" t="s">
        <v>286</v>
      </c>
      <c r="C375" t="str">
        <f>VLOOKUP(B375,'Dictionnaire des variables'!$B:$C,2,0)</f>
        <v>Nombre d'hommes</v>
      </c>
    </row>
    <row r="376" spans="2:3" hidden="1" x14ac:dyDescent="0.25">
      <c r="B376" t="s">
        <v>287</v>
      </c>
      <c r="C376" t="str">
        <f>VLOOKUP(B376,'Dictionnaire des variables'!$B:$C,2,0)</f>
        <v>Nombre d'hommes de 0 à 14 ans</v>
      </c>
    </row>
    <row r="377" spans="2:3" hidden="1" x14ac:dyDescent="0.25">
      <c r="B377" t="s">
        <v>288</v>
      </c>
      <c r="C377" t="str">
        <f>VLOOKUP(B377,'Dictionnaire des variables'!$B:$C,2,0)</f>
        <v>Nombre d'hommes de 15 à 29 ans</v>
      </c>
    </row>
    <row r="378" spans="2:3" hidden="1" x14ac:dyDescent="0.25">
      <c r="B378" t="s">
        <v>289</v>
      </c>
      <c r="C378" t="str">
        <f>VLOOKUP(B378,'Dictionnaire des variables'!$B:$C,2,0)</f>
        <v>Nombre d'hommes de 30 à 44 ans</v>
      </c>
    </row>
    <row r="379" spans="2:3" hidden="1" x14ac:dyDescent="0.25">
      <c r="B379" t="s">
        <v>290</v>
      </c>
      <c r="C379" t="str">
        <f>VLOOKUP(B379,'Dictionnaire des variables'!$B:$C,2,0)</f>
        <v>Nombre d'hommes de 45 à 59 ans</v>
      </c>
    </row>
    <row r="380" spans="2:3" hidden="1" x14ac:dyDescent="0.25">
      <c r="B380" t="s">
        <v>291</v>
      </c>
      <c r="C380" t="str">
        <f>VLOOKUP(B380,'Dictionnaire des variables'!$B:$C,2,0)</f>
        <v>Nombre d'hommes de 60 à 74 ans</v>
      </c>
    </row>
    <row r="381" spans="2:3" hidden="1" x14ac:dyDescent="0.25">
      <c r="B381" t="s">
        <v>292</v>
      </c>
      <c r="C381" t="str">
        <f>VLOOKUP(B381,'Dictionnaire des variables'!$B:$C,2,0)</f>
        <v>Nombre d'hommes de 75 ans ou plus</v>
      </c>
    </row>
    <row r="382" spans="2:3" hidden="1" x14ac:dyDescent="0.25">
      <c r="B382" t="s">
        <v>293</v>
      </c>
      <c r="C382" t="str">
        <f>VLOOKUP(B382,'Dictionnaire des variables'!$B:$C,2,0)</f>
        <v>Nombre d'hommes de 0 à 19 ans</v>
      </c>
    </row>
    <row r="383" spans="2:3" hidden="1" x14ac:dyDescent="0.25">
      <c r="B383" t="s">
        <v>294</v>
      </c>
      <c r="C383" t="str">
        <f>VLOOKUP(B383,'Dictionnaire des variables'!$B:$C,2,0)</f>
        <v>Nombre d'hommes de 20 à 64 ans</v>
      </c>
    </row>
    <row r="384" spans="2:3" hidden="1" x14ac:dyDescent="0.25">
      <c r="B384" t="s">
        <v>295</v>
      </c>
      <c r="C384" t="str">
        <f>VLOOKUP(B384,'Dictionnaire des variables'!$B:$C,2,0)</f>
        <v>Nombre d'hommes de 65 ans ou plus</v>
      </c>
    </row>
    <row r="385" spans="2:3" hidden="1" x14ac:dyDescent="0.25">
      <c r="B385" t="s">
        <v>296</v>
      </c>
      <c r="C385" t="str">
        <f>VLOOKUP(B385,'Dictionnaire des variables'!$B:$C,2,0)</f>
        <v>Nombre de femmes</v>
      </c>
    </row>
    <row r="386" spans="2:3" hidden="1" x14ac:dyDescent="0.25">
      <c r="B386" t="s">
        <v>297</v>
      </c>
      <c r="C386" t="str">
        <f>VLOOKUP(B386,'Dictionnaire des variables'!$B:$C,2,0)</f>
        <v>Nombre de femmes de 0 à 14 ans</v>
      </c>
    </row>
    <row r="387" spans="2:3" hidden="1" x14ac:dyDescent="0.25">
      <c r="B387" t="s">
        <v>298</v>
      </c>
      <c r="C387" t="str">
        <f>VLOOKUP(B387,'Dictionnaire des variables'!$B:$C,2,0)</f>
        <v>Nombre de femmes de 15 à 29 ans</v>
      </c>
    </row>
    <row r="388" spans="2:3" hidden="1" x14ac:dyDescent="0.25">
      <c r="B388" t="s">
        <v>299</v>
      </c>
      <c r="C388" t="str">
        <f>VLOOKUP(B388,'Dictionnaire des variables'!$B:$C,2,0)</f>
        <v>Nombre de femmes de 30 à 44 ans</v>
      </c>
    </row>
    <row r="389" spans="2:3" hidden="1" x14ac:dyDescent="0.25">
      <c r="B389" t="s">
        <v>300</v>
      </c>
      <c r="C389" t="str">
        <f>VLOOKUP(B389,'Dictionnaire des variables'!$B:$C,2,0)</f>
        <v>Nombre de femmes de 45 à 59 ans</v>
      </c>
    </row>
    <row r="390" spans="2:3" hidden="1" x14ac:dyDescent="0.25">
      <c r="B390" t="s">
        <v>301</v>
      </c>
      <c r="C390" t="str">
        <f>VLOOKUP(B390,'Dictionnaire des variables'!$B:$C,2,0)</f>
        <v>Nombre de femmes de 60 à 74 ans</v>
      </c>
    </row>
    <row r="391" spans="2:3" hidden="1" x14ac:dyDescent="0.25">
      <c r="B391" t="s">
        <v>302</v>
      </c>
      <c r="C391" t="str">
        <f>VLOOKUP(B391,'Dictionnaire des variables'!$B:$C,2,0)</f>
        <v>Nombre de femmes de 75 ans ou plus</v>
      </c>
    </row>
    <row r="392" spans="2:3" hidden="1" x14ac:dyDescent="0.25">
      <c r="B392" t="s">
        <v>303</v>
      </c>
      <c r="C392" t="str">
        <f>VLOOKUP(B392,'Dictionnaire des variables'!$B:$C,2,0)</f>
        <v>Nombre de femmes de 0 à 19 ans</v>
      </c>
    </row>
    <row r="393" spans="2:3" hidden="1" x14ac:dyDescent="0.25">
      <c r="B393" t="s">
        <v>304</v>
      </c>
      <c r="C393" t="str">
        <f>VLOOKUP(B393,'Dictionnaire des variables'!$B:$C,2,0)</f>
        <v>Nombre de femmes de 20 à 64 ans</v>
      </c>
    </row>
    <row r="394" spans="2:3" hidden="1" x14ac:dyDescent="0.25">
      <c r="B394" t="s">
        <v>305</v>
      </c>
      <c r="C394" t="str">
        <f>VLOOKUP(B394,'Dictionnaire des variables'!$B:$C,2,0)</f>
        <v>Nombre de femmes de 65 ans ou plus</v>
      </c>
    </row>
    <row r="395" spans="2:3" hidden="1" x14ac:dyDescent="0.25">
      <c r="B395" t="s">
        <v>306</v>
      </c>
      <c r="C395" t="str">
        <f>VLOOKUP(B395,'Dictionnaire des variables'!$B:$C,2,0)</f>
        <v>Nombre de personnes de 15 ans ou plus</v>
      </c>
    </row>
    <row r="396" spans="2:3" hidden="1" x14ac:dyDescent="0.25">
      <c r="B396" t="s">
        <v>307</v>
      </c>
      <c r="C396" t="str">
        <f>VLOOKUP(B396,'Dictionnaire des variables'!$B:$C,2,0)</f>
        <v>Nombre de personnes de 15 ans ou plus Agriculteurs exploitants</v>
      </c>
    </row>
    <row r="397" spans="2:3" hidden="1" x14ac:dyDescent="0.25">
      <c r="B397" t="s">
        <v>308</v>
      </c>
      <c r="C397" t="str">
        <f>VLOOKUP(B397,'Dictionnaire des variables'!$B:$C,2,0)</f>
        <v>Nombre de personnes de 15 ans ou plus Artisans, Commerçants, Chefs d'entreprise</v>
      </c>
    </row>
    <row r="398" spans="2:3" hidden="1" x14ac:dyDescent="0.25">
      <c r="B398" t="s">
        <v>309</v>
      </c>
      <c r="C398" t="str">
        <f>VLOOKUP(B398,'Dictionnaire des variables'!$B:$C,2,0)</f>
        <v>Nombre de personnes de 15 ans ou plus Cadres et Professions intellectuelles supérieures</v>
      </c>
    </row>
    <row r="399" spans="2:3" hidden="1" x14ac:dyDescent="0.25">
      <c r="B399" t="s">
        <v>310</v>
      </c>
      <c r="C399" t="str">
        <f>VLOOKUP(B399,'Dictionnaire des variables'!$B:$C,2,0)</f>
        <v>Nombre de personnes de 15 ans ou plus Professions intermédiaires</v>
      </c>
    </row>
    <row r="400" spans="2:3" hidden="1" x14ac:dyDescent="0.25">
      <c r="B400" t="s">
        <v>311</v>
      </c>
      <c r="C400" t="str">
        <f>VLOOKUP(B400,'Dictionnaire des variables'!$B:$C,2,0)</f>
        <v>Nombre de personnes de 15 ans ou plus Employés</v>
      </c>
    </row>
    <row r="401" spans="2:3" hidden="1" x14ac:dyDescent="0.25">
      <c r="B401" t="s">
        <v>312</v>
      </c>
      <c r="C401" t="str">
        <f>VLOOKUP(B401,'Dictionnaire des variables'!$B:$C,2,0)</f>
        <v>Nombre de personnes de 15 ans ou plus Ouvriers</v>
      </c>
    </row>
    <row r="402" spans="2:3" hidden="1" x14ac:dyDescent="0.25">
      <c r="B402" t="s">
        <v>313</v>
      </c>
      <c r="C402" t="str">
        <f>VLOOKUP(B402,'Dictionnaire des variables'!$B:$C,2,0)</f>
        <v>Nombre de personnes de 15 ans ou plus Retraités</v>
      </c>
    </row>
    <row r="403" spans="2:3" hidden="1" x14ac:dyDescent="0.25">
      <c r="B403" t="s">
        <v>314</v>
      </c>
      <c r="C403" t="str">
        <f>VLOOKUP(B403,'Dictionnaire des variables'!$B:$C,2,0)</f>
        <v>Nombre de personnes de 15 ans ou plus Autres sans activité professionnelle</v>
      </c>
    </row>
    <row r="404" spans="2:3" hidden="1" x14ac:dyDescent="0.25">
      <c r="B404" t="s">
        <v>315</v>
      </c>
      <c r="C404" t="str">
        <f>VLOOKUP(B404,'Dictionnaire des variables'!$B:$C,2,0)</f>
        <v>Nombre d'hommes de 15 ans ou plus</v>
      </c>
    </row>
    <row r="405" spans="2:3" hidden="1" x14ac:dyDescent="0.25">
      <c r="B405" t="s">
        <v>316</v>
      </c>
      <c r="C405" t="str">
        <f>VLOOKUP(B405,'Dictionnaire des variables'!$B:$C,2,0)</f>
        <v>Nombre d'hommes de 15 ans ou plus Agriculteurs exploitants</v>
      </c>
    </row>
    <row r="406" spans="2:3" hidden="1" x14ac:dyDescent="0.25">
      <c r="B406" t="s">
        <v>317</v>
      </c>
      <c r="C406" t="str">
        <f>VLOOKUP(B406,'Dictionnaire des variables'!$B:$C,2,0)</f>
        <v>Nombre d'hommes de 15 ans ou plus Artisans, Commerçants, Chefs d'entreprise</v>
      </c>
    </row>
    <row r="407" spans="2:3" hidden="1" x14ac:dyDescent="0.25">
      <c r="B407" t="s">
        <v>318</v>
      </c>
      <c r="C407" t="str">
        <f>VLOOKUP(B407,'Dictionnaire des variables'!$B:$C,2,0)</f>
        <v>Nombre d'hommes de 15 ans ou plus Cadres et Professions intellectuelles supérieures</v>
      </c>
    </row>
    <row r="408" spans="2:3" hidden="1" x14ac:dyDescent="0.25">
      <c r="B408" t="s">
        <v>319</v>
      </c>
      <c r="C408" t="str">
        <f>VLOOKUP(B408,'Dictionnaire des variables'!$B:$C,2,0)</f>
        <v>Nombre d'hommes de 15 ans ou plus Professions intermédiaires</v>
      </c>
    </row>
    <row r="409" spans="2:3" hidden="1" x14ac:dyDescent="0.25">
      <c r="B409" t="s">
        <v>320</v>
      </c>
      <c r="C409" t="str">
        <f>VLOOKUP(B409,'Dictionnaire des variables'!$B:$C,2,0)</f>
        <v>Nombre d'hommes de 15 ans ou plus Employés</v>
      </c>
    </row>
    <row r="410" spans="2:3" hidden="1" x14ac:dyDescent="0.25">
      <c r="B410" t="s">
        <v>321</v>
      </c>
      <c r="C410" t="str">
        <f>VLOOKUP(B410,'Dictionnaire des variables'!$B:$C,2,0)</f>
        <v>Nombre d'hommes de 15 ans ou plus Ouvriers</v>
      </c>
    </row>
    <row r="411" spans="2:3" hidden="1" x14ac:dyDescent="0.25">
      <c r="B411" t="s">
        <v>322</v>
      </c>
      <c r="C411" t="str">
        <f>VLOOKUP(B411,'Dictionnaire des variables'!$B:$C,2,0)</f>
        <v>Nombre d'hommes de 15 ans ou plus Retraités</v>
      </c>
    </row>
    <row r="412" spans="2:3" hidden="1" x14ac:dyDescent="0.25">
      <c r="B412" t="s">
        <v>323</v>
      </c>
      <c r="C412" t="str">
        <f>VLOOKUP(B412,'Dictionnaire des variables'!$B:$C,2,0)</f>
        <v>Nombre d'hommes de 15 ans ou plus Autres sans activité professionnelle</v>
      </c>
    </row>
    <row r="413" spans="2:3" hidden="1" x14ac:dyDescent="0.25">
      <c r="B413" t="s">
        <v>324</v>
      </c>
      <c r="C413" t="str">
        <f>VLOOKUP(B413,'Dictionnaire des variables'!$B:$C,2,0)</f>
        <v>Nombre de femmes de 15 ans ou plus</v>
      </c>
    </row>
    <row r="414" spans="2:3" hidden="1" x14ac:dyDescent="0.25">
      <c r="B414" t="s">
        <v>325</v>
      </c>
      <c r="C414" t="str">
        <f>VLOOKUP(B414,'Dictionnaire des variables'!$B:$C,2,0)</f>
        <v>Nombre de femmes de 15 ans ou plus Agriculteurs exploitants</v>
      </c>
    </row>
    <row r="415" spans="2:3" hidden="1" x14ac:dyDescent="0.25">
      <c r="B415" t="s">
        <v>326</v>
      </c>
      <c r="C415" t="str">
        <f>VLOOKUP(B415,'Dictionnaire des variables'!$B:$C,2,0)</f>
        <v>Nombre de femmes de 15 ans ou plus Artisans, Commerçants, Chefs d'entreprise</v>
      </c>
    </row>
    <row r="416" spans="2:3" hidden="1" x14ac:dyDescent="0.25">
      <c r="B416" t="s">
        <v>327</v>
      </c>
      <c r="C416" t="str">
        <f>VLOOKUP(B416,'Dictionnaire des variables'!$B:$C,2,0)</f>
        <v>Nombre de femmes de 15 ans ou plus Cadres et Professions intellectuelles supérieures</v>
      </c>
    </row>
    <row r="417" spans="2:3" hidden="1" x14ac:dyDescent="0.25">
      <c r="B417" t="s">
        <v>328</v>
      </c>
      <c r="C417" t="str">
        <f>VLOOKUP(B417,'Dictionnaire des variables'!$B:$C,2,0)</f>
        <v>Nombre de femmes de 15 ans ou plus Professions intermédiaires</v>
      </c>
    </row>
    <row r="418" spans="2:3" hidden="1" x14ac:dyDescent="0.25">
      <c r="B418" t="s">
        <v>329</v>
      </c>
      <c r="C418" t="str">
        <f>VLOOKUP(B418,'Dictionnaire des variables'!$B:$C,2,0)</f>
        <v>Nombre de femmes de 15 ans ou plus Employés</v>
      </c>
    </row>
    <row r="419" spans="2:3" hidden="1" x14ac:dyDescent="0.25">
      <c r="B419" t="s">
        <v>330</v>
      </c>
      <c r="C419" t="str">
        <f>VLOOKUP(B419,'Dictionnaire des variables'!$B:$C,2,0)</f>
        <v>Nombre de femmes de 15 ans ou plus Ouvriers</v>
      </c>
    </row>
    <row r="420" spans="2:3" hidden="1" x14ac:dyDescent="0.25">
      <c r="B420" t="s">
        <v>331</v>
      </c>
      <c r="C420" t="str">
        <f>VLOOKUP(B420,'Dictionnaire des variables'!$B:$C,2,0)</f>
        <v>Nombre de femmes de 15 ans ou plus Retraités</v>
      </c>
    </row>
    <row r="421" spans="2:3" hidden="1" x14ac:dyDescent="0.25">
      <c r="B421" t="s">
        <v>332</v>
      </c>
      <c r="C421" t="str">
        <f>VLOOKUP(B421,'Dictionnaire des variables'!$B:$C,2,0)</f>
        <v>Nombre de femmes de 15 ans ou plus Autres sans activité professionnelle</v>
      </c>
    </row>
    <row r="422" spans="2:3" hidden="1" x14ac:dyDescent="0.25">
      <c r="B422" t="s">
        <v>333</v>
      </c>
      <c r="C422" t="str">
        <f>VLOOKUP(B422,'Dictionnaire des variables'!$B:$C,2,0)</f>
        <v>Nombre de personnes de nationalité française</v>
      </c>
    </row>
    <row r="423" spans="2:3" hidden="1" x14ac:dyDescent="0.25">
      <c r="B423" t="s">
        <v>334</v>
      </c>
      <c r="C423" t="str">
        <f>VLOOKUP(B423,'Dictionnaire des variables'!$B:$C,2,0)</f>
        <v>Nombre de personnes étrangères</v>
      </c>
    </row>
    <row r="424" spans="2:3" hidden="1" x14ac:dyDescent="0.25">
      <c r="B424" t="s">
        <v>335</v>
      </c>
      <c r="C424" t="str">
        <f>VLOOKUP(B424,'Dictionnaire des variables'!$B:$C,2,0)</f>
        <v>Nombres de personnes immigrées</v>
      </c>
    </row>
    <row r="425" spans="2:3" hidden="1" x14ac:dyDescent="0.25">
      <c r="B425" t="s">
        <v>336</v>
      </c>
      <c r="C425" t="str">
        <f>VLOOKUP(B425,'Dictionnaire des variables'!$B:$C,2,0)</f>
        <v>Population des ménages</v>
      </c>
    </row>
    <row r="426" spans="2:3" hidden="1" x14ac:dyDescent="0.25">
      <c r="B426" t="s">
        <v>337</v>
      </c>
      <c r="C426" t="str">
        <f>VLOOKUP(B426,'Dictionnaire des variables'!$B:$C,2,0)</f>
        <v>Population hors ménages</v>
      </c>
    </row>
    <row r="427" spans="2:3" hidden="1" x14ac:dyDescent="0.25">
      <c r="B427" t="s">
        <v>7</v>
      </c>
      <c r="C427" t="str">
        <f>VLOOKUP(B427,'Dictionnaire des variables'!$B:$C,2,0)</f>
        <v>Nombre de logements</v>
      </c>
    </row>
    <row r="428" spans="2:3" hidden="1" x14ac:dyDescent="0.25">
      <c r="B428" t="s">
        <v>945</v>
      </c>
      <c r="C428" t="str">
        <f>VLOOKUP(B428,'Dictionnaire des variables'!$B:$C,2,0)</f>
        <v>Nombre de résidences principales</v>
      </c>
    </row>
    <row r="429" spans="2:3" hidden="1" x14ac:dyDescent="0.25">
      <c r="B429" t="s">
        <v>946</v>
      </c>
      <c r="C429" t="str">
        <f>VLOOKUP(B429,'Dictionnaire des variables'!$B:$C,2,0)</f>
        <v>Nombre de résidences secondaires et logements occasionnels</v>
      </c>
    </row>
    <row r="430" spans="2:3" hidden="1" x14ac:dyDescent="0.25">
      <c r="B430" t="s">
        <v>947</v>
      </c>
      <c r="C430" t="str">
        <f>VLOOKUP(B430,'Dictionnaire des variables'!$B:$C,2,0)</f>
        <v>Nombre de logements vacants</v>
      </c>
    </row>
    <row r="431" spans="2:3" hidden="1" x14ac:dyDescent="0.25">
      <c r="B431" t="s">
        <v>338</v>
      </c>
      <c r="C431" t="str">
        <f>VLOOKUP(B431,'Dictionnaire des variables'!$B:$C,2,0)</f>
        <v>Nombre de maisons</v>
      </c>
    </row>
    <row r="432" spans="2:3" hidden="1" x14ac:dyDescent="0.25">
      <c r="B432" t="s">
        <v>339</v>
      </c>
      <c r="C432" t="str">
        <f>VLOOKUP(B432,'Dictionnaire des variables'!$B:$C,2,0)</f>
        <v>Nombre d'appartements</v>
      </c>
    </row>
    <row r="433" spans="2:3" hidden="1" x14ac:dyDescent="0.25">
      <c r="B433" t="s">
        <v>340</v>
      </c>
      <c r="C433" t="str">
        <f>VLOOKUP(B433,'Dictionnaire des variables'!$B:$C,2,0)</f>
        <v>Nombre de résidences principales d'1 pièce</v>
      </c>
    </row>
    <row r="434" spans="2:3" hidden="1" x14ac:dyDescent="0.25">
      <c r="B434" t="s">
        <v>341</v>
      </c>
      <c r="C434" t="str">
        <f>VLOOKUP(B434,'Dictionnaire des variables'!$B:$C,2,0)</f>
        <v>Nombre de résidences principales de 2 pièces</v>
      </c>
    </row>
    <row r="435" spans="2:3" hidden="1" x14ac:dyDescent="0.25">
      <c r="B435" t="s">
        <v>342</v>
      </c>
      <c r="C435" t="str">
        <f>VLOOKUP(B435,'Dictionnaire des variables'!$B:$C,2,0)</f>
        <v>Nombre de résidences principales de 3 pièces</v>
      </c>
    </row>
    <row r="436" spans="2:3" hidden="1" x14ac:dyDescent="0.25">
      <c r="B436" t="s">
        <v>343</v>
      </c>
      <c r="C436" t="str">
        <f>VLOOKUP(B436,'Dictionnaire des variables'!$B:$C,2,0)</f>
        <v>Nombre de résidences principales de 4 pièces</v>
      </c>
    </row>
    <row r="437" spans="2:3" hidden="1" x14ac:dyDescent="0.25">
      <c r="B437" t="s">
        <v>344</v>
      </c>
      <c r="C437" t="str">
        <f>VLOOKUP(B437,'Dictionnaire des variables'!$B:$C,2,0)</f>
        <v>Nombre de résidences principales de 5 pièces ou plus</v>
      </c>
    </row>
    <row r="438" spans="2:3" hidden="1" x14ac:dyDescent="0.25">
      <c r="B438" t="s">
        <v>345</v>
      </c>
      <c r="C438" t="str">
        <f>VLOOKUP(B438,'Dictionnaire des variables'!$B:$C,2,0)</f>
        <v>Nombre de pièces des résidences principales</v>
      </c>
    </row>
    <row r="439" spans="2:3" hidden="1" x14ac:dyDescent="0.25">
      <c r="B439" t="s">
        <v>346</v>
      </c>
      <c r="C439" t="str">
        <f>VLOOKUP(B439,'Dictionnaire des variables'!$B:$C,2,0)</f>
        <v>Nombre de résidences principales de type maison</v>
      </c>
    </row>
    <row r="440" spans="2:3" hidden="1" x14ac:dyDescent="0.25">
      <c r="B440" t="s">
        <v>347</v>
      </c>
      <c r="C440" t="str">
        <f>VLOOKUP(B440,'Dictionnaire des variables'!$B:$C,2,0)</f>
        <v>Nombre de pièces des résidences principales de type maison</v>
      </c>
    </row>
    <row r="441" spans="2:3" hidden="1" x14ac:dyDescent="0.25">
      <c r="B441" t="s">
        <v>348</v>
      </c>
      <c r="C441" t="str">
        <f>VLOOKUP(B441,'Dictionnaire des variables'!$B:$C,2,0)</f>
        <v>Nombre de résidences principales de type appartement</v>
      </c>
    </row>
    <row r="442" spans="2:3" hidden="1" x14ac:dyDescent="0.25">
      <c r="B442" t="s">
        <v>349</v>
      </c>
      <c r="C442" t="str">
        <f>VLOOKUP(B442,'Dictionnaire des variables'!$B:$C,2,0)</f>
        <v>Nombre de pièces des résidences principales de type appartement</v>
      </c>
    </row>
    <row r="443" spans="2:3" hidden="1" x14ac:dyDescent="0.25">
      <c r="B443" t="s">
        <v>350</v>
      </c>
      <c r="C443" t="str">
        <f>VLOOKUP(B443,'Dictionnaire des variables'!$B:$C,2,0)</f>
        <v>Nombre de résidences principales de moins de 30 m2</v>
      </c>
    </row>
    <row r="444" spans="2:3" hidden="1" x14ac:dyDescent="0.25">
      <c r="B444" t="s">
        <v>351</v>
      </c>
      <c r="C444" t="str">
        <f>VLOOKUP(B444,'Dictionnaire des variables'!$B:$C,2,0)</f>
        <v>Nombre de résidences principales de 30 à moins de 40 m2</v>
      </c>
    </row>
    <row r="445" spans="2:3" hidden="1" x14ac:dyDescent="0.25">
      <c r="B445" t="s">
        <v>352</v>
      </c>
      <c r="C445" t="str">
        <f>VLOOKUP(B445,'Dictionnaire des variables'!$B:$C,2,0)</f>
        <v>Nombre de résidences principales de 40 à moins de 60 m2</v>
      </c>
    </row>
    <row r="446" spans="2:3" hidden="1" x14ac:dyDescent="0.25">
      <c r="B446" t="s">
        <v>353</v>
      </c>
      <c r="C446" t="str">
        <f>VLOOKUP(B446,'Dictionnaire des variables'!$B:$C,2,0)</f>
        <v>Nombre de résidences principales de 60 à moins de 80 m2</v>
      </c>
    </row>
    <row r="447" spans="2:3" hidden="1" x14ac:dyDescent="0.25">
      <c r="B447" t="s">
        <v>354</v>
      </c>
      <c r="C447" t="str">
        <f>VLOOKUP(B447,'Dictionnaire des variables'!$B:$C,2,0)</f>
        <v>Nombre de résidences principales de 80 à moins de 100 m2</v>
      </c>
    </row>
    <row r="448" spans="2:3" hidden="1" x14ac:dyDescent="0.25">
      <c r="B448" t="s">
        <v>355</v>
      </c>
      <c r="C448" t="str">
        <f>VLOOKUP(B448,'Dictionnaire des variables'!$B:$C,2,0)</f>
        <v>Nombre de résidences principales de 100 à moins de 120 m2</v>
      </c>
    </row>
    <row r="449" spans="2:3" hidden="1" x14ac:dyDescent="0.25">
      <c r="B449" t="s">
        <v>356</v>
      </c>
      <c r="C449" t="str">
        <f>VLOOKUP(B449,'Dictionnaire des variables'!$B:$C,2,0)</f>
        <v>Nombre de résidences principales de 120 m2 ou plus</v>
      </c>
    </row>
    <row r="450" spans="2:3" hidden="1" x14ac:dyDescent="0.25">
      <c r="B450" t="s">
        <v>357</v>
      </c>
      <c r="C450" t="str">
        <f>VLOOKUP(B450,'Dictionnaire des variables'!$B:$C,2,0)</f>
        <v>Nombre de résidences principales construites avant 2011</v>
      </c>
    </row>
    <row r="451" spans="2:3" hidden="1" x14ac:dyDescent="0.25">
      <c r="B451" t="s">
        <v>358</v>
      </c>
      <c r="C451" t="str">
        <f>VLOOKUP(B451,'Dictionnaire des variables'!$B:$C,2,0)</f>
        <v>Nombre de résidences principales construites avant 1919</v>
      </c>
    </row>
    <row r="452" spans="2:3" hidden="1" x14ac:dyDescent="0.25">
      <c r="B452" t="s">
        <v>359</v>
      </c>
      <c r="C452" t="str">
        <f>VLOOKUP(B452,'Dictionnaire des variables'!$B:$C,2,0)</f>
        <v>Nombre de résidences principales construites de 1919 à 1945</v>
      </c>
    </row>
    <row r="453" spans="2:3" hidden="1" x14ac:dyDescent="0.25">
      <c r="B453" t="s">
        <v>360</v>
      </c>
      <c r="C453" t="str">
        <f>VLOOKUP(B453,'Dictionnaire des variables'!$B:$C,2,0)</f>
        <v>Nombre de résidences principales construites de 1946 à 1970</v>
      </c>
    </row>
    <row r="454" spans="2:3" hidden="1" x14ac:dyDescent="0.25">
      <c r="B454" t="s">
        <v>361</v>
      </c>
      <c r="C454" t="str">
        <f>VLOOKUP(B454,'Dictionnaire des variables'!$B:$C,2,0)</f>
        <v>Nombre de résidences principales construites de 1971 à 1990</v>
      </c>
    </row>
    <row r="455" spans="2:3" hidden="1" x14ac:dyDescent="0.25">
      <c r="B455" t="s">
        <v>362</v>
      </c>
      <c r="C455" t="str">
        <f>VLOOKUP(B455,'Dictionnaire des variables'!$B:$C,2,0)</f>
        <v>Nombre de résidences principales construites de 1991 à 2005</v>
      </c>
    </row>
    <row r="456" spans="2:3" hidden="1" x14ac:dyDescent="0.25">
      <c r="B456" t="s">
        <v>363</v>
      </c>
      <c r="C456" t="str">
        <f>VLOOKUP(B456,'Dictionnaire des variables'!$B:$C,2,0)</f>
        <v>Nombre de résidences principales construites de 2006 à 2010</v>
      </c>
    </row>
    <row r="457" spans="2:3" hidden="1" x14ac:dyDescent="0.25">
      <c r="B457" t="s">
        <v>364</v>
      </c>
      <c r="C457" t="str">
        <f>VLOOKUP(B457,'Dictionnaire des variables'!$B:$C,2,0)</f>
        <v>Nombre de résidences principales de type maison construites avant 2011</v>
      </c>
    </row>
    <row r="458" spans="2:3" hidden="1" x14ac:dyDescent="0.25">
      <c r="B458" t="s">
        <v>365</v>
      </c>
      <c r="C458" t="str">
        <f>VLOOKUP(B458,'Dictionnaire des variables'!$B:$C,2,0)</f>
        <v>Nombre de résidences principales de type maison construites avant 1919</v>
      </c>
    </row>
    <row r="459" spans="2:3" hidden="1" x14ac:dyDescent="0.25">
      <c r="B459" t="s">
        <v>366</v>
      </c>
      <c r="C459" t="str">
        <f>VLOOKUP(B459,'Dictionnaire des variables'!$B:$C,2,0)</f>
        <v>Nombre de résidences principales de type maison construites de 1919 à 1945</v>
      </c>
    </row>
    <row r="460" spans="2:3" hidden="1" x14ac:dyDescent="0.25">
      <c r="B460" t="s">
        <v>367</v>
      </c>
      <c r="C460" t="str">
        <f>VLOOKUP(B460,'Dictionnaire des variables'!$B:$C,2,0)</f>
        <v>Nombre de résidences principales de type maison construites de 1946 à 1970</v>
      </c>
    </row>
    <row r="461" spans="2:3" hidden="1" x14ac:dyDescent="0.25">
      <c r="B461" t="s">
        <v>368</v>
      </c>
      <c r="C461" t="str">
        <f>VLOOKUP(B461,'Dictionnaire des variables'!$B:$C,2,0)</f>
        <v>Nombre de résidences principales de type maison construites de 1971 à 1990</v>
      </c>
    </row>
    <row r="462" spans="2:3" hidden="1" x14ac:dyDescent="0.25">
      <c r="B462" t="s">
        <v>369</v>
      </c>
      <c r="C462" t="str">
        <f>VLOOKUP(B462,'Dictionnaire des variables'!$B:$C,2,0)</f>
        <v>Nombre de résidences principales de type maison construites de 1991 à 2005</v>
      </c>
    </row>
    <row r="463" spans="2:3" hidden="1" x14ac:dyDescent="0.25">
      <c r="B463" t="s">
        <v>370</v>
      </c>
      <c r="C463" t="str">
        <f>VLOOKUP(B463,'Dictionnaire des variables'!$B:$C,2,0)</f>
        <v>Nombre de résidences principales de type maison construites de 2006 à 2010</v>
      </c>
    </row>
    <row r="464" spans="2:3" hidden="1" x14ac:dyDescent="0.25">
      <c r="B464" t="s">
        <v>371</v>
      </c>
      <c r="C464" t="str">
        <f>VLOOKUP(B464,'Dictionnaire des variables'!$B:$C,2,0)</f>
        <v>Nombre de résidences principales de type appartement construites avant 2011</v>
      </c>
    </row>
    <row r="465" spans="2:3" hidden="1" x14ac:dyDescent="0.25">
      <c r="B465" t="s">
        <v>372</v>
      </c>
      <c r="C465" t="str">
        <f>VLOOKUP(B465,'Dictionnaire des variables'!$B:$C,2,0)</f>
        <v>Nombre de résidences principales de type appartement construites avant 1919</v>
      </c>
    </row>
    <row r="466" spans="2:3" hidden="1" x14ac:dyDescent="0.25">
      <c r="B466" t="s">
        <v>373</v>
      </c>
      <c r="C466" t="str">
        <f>VLOOKUP(B466,'Dictionnaire des variables'!$B:$C,2,0)</f>
        <v>Nombre de résidences principales de type appartement construites de 1919 à 1945</v>
      </c>
    </row>
    <row r="467" spans="2:3" hidden="1" x14ac:dyDescent="0.25">
      <c r="B467" t="s">
        <v>374</v>
      </c>
      <c r="C467" t="str">
        <f>VLOOKUP(B467,'Dictionnaire des variables'!$B:$C,2,0)</f>
        <v>Nombre de résidences principales de type appartement construites de 1946 à 1970</v>
      </c>
    </row>
    <row r="468" spans="2:3" hidden="1" x14ac:dyDescent="0.25">
      <c r="B468" t="s">
        <v>375</v>
      </c>
      <c r="C468" t="str">
        <f>VLOOKUP(B468,'Dictionnaire des variables'!$B:$C,2,0)</f>
        <v>Nombre de résidences principales de type appartement construites de 1971 à 1990</v>
      </c>
    </row>
    <row r="469" spans="2:3" hidden="1" x14ac:dyDescent="0.25">
      <c r="B469" t="s">
        <v>376</v>
      </c>
      <c r="C469" t="str">
        <f>VLOOKUP(B469,'Dictionnaire des variables'!$B:$C,2,0)</f>
        <v>Nombre de résidences principales de type appartement construites de 1991 à 2005</v>
      </c>
    </row>
    <row r="470" spans="2:3" hidden="1" x14ac:dyDescent="0.25">
      <c r="B470" t="s">
        <v>377</v>
      </c>
      <c r="C470" t="s">
        <v>1691</v>
      </c>
    </row>
    <row r="471" spans="2:3" hidden="1" x14ac:dyDescent="0.25">
      <c r="B471" t="s">
        <v>378</v>
      </c>
      <c r="C471" t="str">
        <f>VLOOKUP(B471,'Dictionnaire des variables'!$B:$C,2,0)</f>
        <v>Nombre de ménages</v>
      </c>
    </row>
    <row r="472" spans="2:3" hidden="1" x14ac:dyDescent="0.25">
      <c r="B472" t="s">
        <v>379</v>
      </c>
      <c r="C472" t="str">
        <f>VLOOKUP(B472,'Dictionnaire des variables'!$B:$C,2,0)</f>
        <v>Nombre de ménages ayant emménagé depuis moins de 2 ans</v>
      </c>
    </row>
    <row r="473" spans="2:3" hidden="1" x14ac:dyDescent="0.25">
      <c r="B473" t="s">
        <v>380</v>
      </c>
      <c r="C473" t="str">
        <f>VLOOKUP(B473,'Dictionnaire des variables'!$B:$C,2,0)</f>
        <v>Nombre de ménages ayant emménagé entre 2 et 4 ans</v>
      </c>
    </row>
    <row r="474" spans="2:3" hidden="1" x14ac:dyDescent="0.25">
      <c r="B474" t="s">
        <v>381</v>
      </c>
      <c r="C474" t="str">
        <f>VLOOKUP(B474,'Dictionnaire des variables'!$B:$C,2,0)</f>
        <v>Nombre de ménages ayant emménagé entre 5 et 9 ans</v>
      </c>
    </row>
    <row r="475" spans="2:3" hidden="1" x14ac:dyDescent="0.25">
      <c r="B475" t="s">
        <v>382</v>
      </c>
      <c r="C475" t="str">
        <f>VLOOKUP(B475,'Dictionnaire des variables'!$B:$C,2,0)</f>
        <v>Nombre de ménages ayant emménagé depuis 10 ans ou plus</v>
      </c>
    </row>
    <row r="476" spans="2:3" hidden="1" x14ac:dyDescent="0.25">
      <c r="B476" t="s">
        <v>383</v>
      </c>
      <c r="C476" t="str">
        <f>VLOOKUP(B476,'Dictionnaire des variables'!$B:$C,2,0)</f>
        <v>Population des ménages ayant emménagé depuis moins de 2 ans</v>
      </c>
    </row>
    <row r="477" spans="2:3" hidden="1" x14ac:dyDescent="0.25">
      <c r="B477" t="s">
        <v>384</v>
      </c>
      <c r="C477" t="str">
        <f>VLOOKUP(B477,'Dictionnaire des variables'!$B:$C,2,0)</f>
        <v>Population des ménages ayant emménagé entre 2 et 4 ans</v>
      </c>
    </row>
    <row r="478" spans="2:3" hidden="1" x14ac:dyDescent="0.25">
      <c r="B478" t="s">
        <v>385</v>
      </c>
      <c r="C478" t="str">
        <f>VLOOKUP(B478,'Dictionnaire des variables'!$B:$C,2,0)</f>
        <v>Population des ménages ayant emménagé entre 5 et 9 ans</v>
      </c>
    </row>
    <row r="479" spans="2:3" hidden="1" x14ac:dyDescent="0.25">
      <c r="B479" t="s">
        <v>386</v>
      </c>
      <c r="C479" t="str">
        <f>VLOOKUP(B479,'Dictionnaire des variables'!$B:$C,2,0)</f>
        <v>Population des ménages ayant emménagé depuis 10 ans ou plus</v>
      </c>
    </row>
    <row r="480" spans="2:3" hidden="1" x14ac:dyDescent="0.25">
      <c r="B480" t="s">
        <v>387</v>
      </c>
      <c r="C480" t="str">
        <f>VLOOKUP(B480,'Dictionnaire des variables'!$B:$C,2,0)</f>
        <v>Nombre de pièces des résidences principales dans lesquelles le ménage a emménagé depuis moins de 2 ans</v>
      </c>
    </row>
    <row r="481" spans="2:3" hidden="1" x14ac:dyDescent="0.25">
      <c r="B481" t="s">
        <v>388</v>
      </c>
      <c r="C481" t="str">
        <f>VLOOKUP(B481,'Dictionnaire des variables'!$B:$C,2,0)</f>
        <v>Nombre de pièces des résidences principales dans lesquelles le ménage a emménagé entre 2 et 4 ans</v>
      </c>
    </row>
    <row r="482" spans="2:3" hidden="1" x14ac:dyDescent="0.25">
      <c r="B482" t="s">
        <v>389</v>
      </c>
      <c r="C482" t="str">
        <f>VLOOKUP(B482,'Dictionnaire des variables'!$B:$C,2,0)</f>
        <v>Nombre de pièces des résidences principales dans lesquelles le ménage a emménagé entre 5 et 9 ans</v>
      </c>
    </row>
    <row r="483" spans="2:3" hidden="1" x14ac:dyDescent="0.25">
      <c r="B483" t="s">
        <v>390</v>
      </c>
      <c r="C483" t="str">
        <f>VLOOKUP(B483,'Dictionnaire des variables'!$B:$C,2,0)</f>
        <v>Nombre de pièces des résidences principales dans lesquelles le ménage a emménagé depuis 10 ans ou plus</v>
      </c>
    </row>
    <row r="484" spans="2:3" hidden="1" x14ac:dyDescent="0.25">
      <c r="B484" t="s">
        <v>948</v>
      </c>
      <c r="C484" t="str">
        <f>VLOOKUP(B484,'Dictionnaire des variables'!$B:$C,2,0)</f>
        <v>Nombre de résidences principales occupées par des propriétaires</v>
      </c>
    </row>
    <row r="485" spans="2:3" hidden="1" x14ac:dyDescent="0.25">
      <c r="B485" t="s">
        <v>391</v>
      </c>
      <c r="C485" t="str">
        <f>VLOOKUP(B485,'Dictionnaire des variables'!$B:$C,2,0)</f>
        <v>Nombre de résidences principales occupées par des locataires</v>
      </c>
    </row>
    <row r="486" spans="2:3" hidden="1" x14ac:dyDescent="0.25">
      <c r="B486" t="s">
        <v>949</v>
      </c>
      <c r="C486" t="str">
        <f>VLOOKUP(B486,'Dictionnaire des variables'!$B:$C,2,0)</f>
        <v>Nombre de résidences principales HLM loué vide</v>
      </c>
    </row>
    <row r="487" spans="2:3" hidden="1" x14ac:dyDescent="0.25">
      <c r="B487" t="s">
        <v>392</v>
      </c>
      <c r="C487" t="str">
        <f>VLOOKUP(B487,'Dictionnaire des variables'!$B:$C,2,0)</f>
        <v>Nombre de résidences principales occupées gratuitement</v>
      </c>
    </row>
    <row r="488" spans="2:3" hidden="1" x14ac:dyDescent="0.25">
      <c r="B488" t="s">
        <v>393</v>
      </c>
      <c r="C488" t="str">
        <f>VLOOKUP(B488,'Dictionnaire des variables'!$B:$C,2,0)</f>
        <v>Nombre de personnes des résidences principales</v>
      </c>
    </row>
    <row r="489" spans="2:3" hidden="1" x14ac:dyDescent="0.25">
      <c r="B489" t="s">
        <v>394</v>
      </c>
      <c r="C489" t="str">
        <f>VLOOKUP(B489,'Dictionnaire des variables'!$B:$C,2,0)</f>
        <v>Nombre de personnes des résidences principales occupées par des propriétaires</v>
      </c>
    </row>
    <row r="490" spans="2:3" hidden="1" x14ac:dyDescent="0.25">
      <c r="B490" t="s">
        <v>395</v>
      </c>
      <c r="C490" t="str">
        <f>VLOOKUP(B490,'Dictionnaire des variables'!$B:$C,2,0)</f>
        <v>Nombre de personnes des résidences principales occupées par des locataires</v>
      </c>
    </row>
    <row r="491" spans="2:3" hidden="1" x14ac:dyDescent="0.25">
      <c r="B491" t="s">
        <v>396</v>
      </c>
      <c r="C491" t="str">
        <f>VLOOKUP(B491,'Dictionnaire des variables'!$B:$C,2,0)</f>
        <v>Nombre de personnes des résidences principales HLM louées vides</v>
      </c>
    </row>
    <row r="492" spans="2:3" hidden="1" x14ac:dyDescent="0.25">
      <c r="B492" t="s">
        <v>397</v>
      </c>
      <c r="C492" t="str">
        <f>VLOOKUP(B492,'Dictionnaire des variables'!$B:$C,2,0)</f>
        <v>Nombre de personnes des résidences principales occupées gratuitement</v>
      </c>
    </row>
    <row r="493" spans="2:3" hidden="1" x14ac:dyDescent="0.25">
      <c r="B493" t="s">
        <v>398</v>
      </c>
      <c r="C493" t="str">
        <f>VLOOKUP(B493,'Dictionnaire des variables'!$B:$C,2,0)</f>
        <v>Ancienneté totale d'emménagement dans les résidences principales en années</v>
      </c>
    </row>
    <row r="494" spans="2:3" hidden="1" x14ac:dyDescent="0.25">
      <c r="B494" t="s">
        <v>399</v>
      </c>
      <c r="C494" t="str">
        <f>VLOOKUP(B494,'Dictionnaire des variables'!$B:$C,2,0)</f>
        <v>Ancienneté totale d'emménagement dans les résidences principales occupées par des propriétaires en années</v>
      </c>
    </row>
    <row r="495" spans="2:3" hidden="1" x14ac:dyDescent="0.25">
      <c r="B495" t="s">
        <v>400</v>
      </c>
      <c r="C495" t="str">
        <f>VLOOKUP(B495,'Dictionnaire des variables'!$B:$C,2,0)</f>
        <v>Ancienneté totale d'emménagement dans les résidences principales occupées par des locataires en années</v>
      </c>
    </row>
    <row r="496" spans="2:3" hidden="1" x14ac:dyDescent="0.25">
      <c r="B496" t="s">
        <v>401</v>
      </c>
      <c r="C496" t="str">
        <f>VLOOKUP(B496,'Dictionnaire des variables'!$B:$C,2,0)</f>
        <v>Ancienneté totale d'emménagement dans les résidences principales HLM louées vides en années</v>
      </c>
    </row>
    <row r="497" spans="2:3" hidden="1" x14ac:dyDescent="0.25">
      <c r="B497" t="s">
        <v>402</v>
      </c>
      <c r="C497" t="str">
        <f>VLOOKUP(B497,'Dictionnaire des variables'!$B:$C,2,0)</f>
        <v>Ancienneté totale d'emménagement dans les résidences principales occupées gratuitement en années</v>
      </c>
    </row>
    <row r="498" spans="2:3" hidden="1" x14ac:dyDescent="0.25">
      <c r="B498" t="s">
        <v>403</v>
      </c>
      <c r="C498" t="str">
        <f>VLOOKUP(B498,'Dictionnaire des variables'!$B:$C,2,0)</f>
        <v>Nombre de résidences principales avec salle de bain dotée de baignoire ou douche (variable spécifique à la France métropolitaine)</v>
      </c>
    </row>
    <row r="499" spans="2:3" hidden="1" x14ac:dyDescent="0.25">
      <c r="B499" t="s">
        <v>404</v>
      </c>
      <c r="C499" t="str">
        <f>VLOOKUP(B499,'Dictionnaire des variables'!$B:$C,2,0)</f>
        <v>Nombre de résidences principales avec chauffage central collectif (variable spécifique à la France métropolitaine)</v>
      </c>
    </row>
    <row r="500" spans="2:3" hidden="1" x14ac:dyDescent="0.25">
      <c r="B500" t="s">
        <v>405</v>
      </c>
      <c r="C500" t="str">
        <f>VLOOKUP(B500,'Dictionnaire des variables'!$B:$C,2,0)</f>
        <v>Nombre de résidences principales avec chauffage central individuel (variable spécifique à la France métropolitaine)</v>
      </c>
    </row>
    <row r="501" spans="2:3" hidden="1" x14ac:dyDescent="0.25">
      <c r="B501" t="s">
        <v>406</v>
      </c>
      <c r="C501" t="str">
        <f>VLOOKUP(B501,'Dictionnaire des variables'!$B:$C,2,0)</f>
        <v>Nombre de résidences principales avec chauffage individuel électrique (variable spécifique à la France métropolitaine)</v>
      </c>
    </row>
    <row r="502" spans="2:3" hidden="1" x14ac:dyDescent="0.25">
      <c r="B502" t="s">
        <v>407</v>
      </c>
      <c r="C502" t="str">
        <f>VLOOKUP(B502,'Dictionnaire des variables'!$B:$C,2,0)</f>
        <v>Nombre de résidences principales avec électricité dans le logement (variable spécifique aux Départements d'outre-mer)</v>
      </c>
    </row>
    <row r="503" spans="2:3" hidden="1" x14ac:dyDescent="0.25">
      <c r="B503" t="s">
        <v>408</v>
      </c>
      <c r="C503" t="str">
        <f>VLOOKUP(B503,'Dictionnaire des variables'!$B:$C,2,0)</f>
        <v>Nombre de résidences principales avec eau chaude dans le logement (variable spécifique aux Départements d'outre-mer)</v>
      </c>
    </row>
    <row r="504" spans="2:3" hidden="1" x14ac:dyDescent="0.25">
      <c r="B504" t="s">
        <v>409</v>
      </c>
      <c r="C504" t="str">
        <f>VLOOKUP(B504,'Dictionnaire des variables'!$B:$C,2,0)</f>
        <v>Nombre de résidences principales avec baignoire ou douche et WC à l'intérieur du logement (variable spécifique aux Départements d'outre-mer)</v>
      </c>
    </row>
    <row r="505" spans="2:3" hidden="1" x14ac:dyDescent="0.25">
      <c r="B505" t="s">
        <v>410</v>
      </c>
      <c r="C505" t="str">
        <f>VLOOKUP(B505,'Dictionnaire des variables'!$B:$C,2,0)</f>
        <v>Nombre de résidences principales avec chauffe-eau solaire (variable spécifique aux Départements d'outre-mer)</v>
      </c>
    </row>
    <row r="506" spans="2:3" hidden="1" x14ac:dyDescent="0.25">
      <c r="B506" t="s">
        <v>411</v>
      </c>
      <c r="C506" t="str">
        <f>VLOOKUP(B506,'Dictionnaire des variables'!$B:$C,2,0)</f>
        <v>Nombre de résidences principales avec pièce climatisée (variable spécifique aux Départements d'outre-mer)</v>
      </c>
    </row>
    <row r="507" spans="2:3" hidden="1" x14ac:dyDescent="0.25">
      <c r="B507" t="s">
        <v>412</v>
      </c>
      <c r="C507" t="str">
        <f>VLOOKUP(B507,'Dictionnaire des variables'!$B:$C,2,0)</f>
        <v>Nombre de résidences principales avec tout à l'égout (variable spécifique aux Départements d'outre-mer)</v>
      </c>
    </row>
    <row r="508" spans="2:3" hidden="1" x14ac:dyDescent="0.25">
      <c r="B508" t="s">
        <v>413</v>
      </c>
      <c r="C508" t="str">
        <f>VLOOKUP(B508,'Dictionnaire des variables'!$B:$C,2,0)</f>
        <v>Nombre de ménages disposant au moins d'un emplacement réservé au stationnement</v>
      </c>
    </row>
    <row r="509" spans="2:3" hidden="1" x14ac:dyDescent="0.25">
      <c r="B509" t="s">
        <v>414</v>
      </c>
      <c r="C509" t="str">
        <f>VLOOKUP(B509,'Dictionnaire des variables'!$B:$C,2,0)</f>
        <v>Nombre de ménages disposant au moins d'une voiture</v>
      </c>
    </row>
    <row r="510" spans="2:3" hidden="1" x14ac:dyDescent="0.25">
      <c r="B510" t="s">
        <v>415</v>
      </c>
      <c r="C510" t="str">
        <f>VLOOKUP(B510,'Dictionnaire des variables'!$B:$C,2,0)</f>
        <v>Nombre de ménages disposant d'une voiture</v>
      </c>
    </row>
    <row r="511" spans="2:3" hidden="1" x14ac:dyDescent="0.25">
      <c r="B511" t="s">
        <v>416</v>
      </c>
      <c r="C511" t="str">
        <f>VLOOKUP(B511,'Dictionnaire des variables'!$B:$C,2,0)</f>
        <v>Nombre de ménages disposant de deux voitures ou plus</v>
      </c>
    </row>
    <row r="512" spans="2:3" hidden="1" x14ac:dyDescent="0.25">
      <c r="B512" t="s">
        <v>417</v>
      </c>
      <c r="C512" t="str">
        <f>VLOOKUP(B512,'Dictionnaire des variables'!$B:$C,2,0)</f>
        <v>Nombre de résidences principales habitations de fortune (variable spécifique aux Départements d'outre-mer)</v>
      </c>
    </row>
    <row r="513" spans="2:3" hidden="1" x14ac:dyDescent="0.25">
      <c r="B513" t="s">
        <v>418</v>
      </c>
      <c r="C513" t="str">
        <f>VLOOKUP(B513,'Dictionnaire des variables'!$B:$C,2,0)</f>
        <v>Nombre de résidences principales cases traditionnelles (variable spécifique aux Départements d'outre-mer)</v>
      </c>
    </row>
    <row r="514" spans="2:3" hidden="1" x14ac:dyDescent="0.25">
      <c r="B514" t="s">
        <v>419</v>
      </c>
      <c r="C514" t="str">
        <f>VLOOKUP(B514,'Dictionnaire des variables'!$B:$C,2,0)</f>
        <v>Nombre de résidences principales maisons ou immeubles en bois (variable spécifique aux Départements d'outre-mer)</v>
      </c>
    </row>
    <row r="515" spans="2:3" hidden="1" x14ac:dyDescent="0.25">
      <c r="B515" t="s">
        <v>420</v>
      </c>
      <c r="C515" t="str">
        <f>VLOOKUP(B515,'Dictionnaire des variables'!$B:$C,2,0)</f>
        <v>Nombre de résidences principales maisons ou immeubles en dur (variable spécifique aux Départements d'outre-mer)</v>
      </c>
    </row>
    <row r="516" spans="2:3" x14ac:dyDescent="0.25">
      <c r="B516" t="s">
        <v>1496</v>
      </c>
      <c r="C516" t="e">
        <f>VLOOKUP(B516,'Dictionnaire des variables'!$B:$C,2,0)</f>
        <v>#N/A</v>
      </c>
    </row>
    <row r="517" spans="2:3" hidden="1" x14ac:dyDescent="0.25">
      <c r="B517" t="s">
        <v>1044</v>
      </c>
      <c r="C517" t="str">
        <f>VLOOKUP(B517,'Dictionnaire des variables'!$B:$C,2,0)</f>
        <v>Part des personnes de 15 à 64 ans</v>
      </c>
    </row>
    <row r="518" spans="2:3" hidden="1" x14ac:dyDescent="0.25">
      <c r="B518" t="s">
        <v>1045</v>
      </c>
      <c r="C518" t="str">
        <f>VLOOKUP(B518,'Dictionnaire des variables'!$B:$C,2,0)</f>
        <v>Part des personnes de 15 à 24 ans</v>
      </c>
    </row>
    <row r="519" spans="2:3" hidden="1" x14ac:dyDescent="0.25">
      <c r="B519" t="s">
        <v>1046</v>
      </c>
      <c r="C519" t="str">
        <f>VLOOKUP(B519,'Dictionnaire des variables'!$B:$C,2,0)</f>
        <v>Part des personnes de 25 à 54 ans</v>
      </c>
    </row>
    <row r="520" spans="2:3" hidden="1" x14ac:dyDescent="0.25">
      <c r="B520" t="s">
        <v>1047</v>
      </c>
      <c r="C520" t="str">
        <f>VLOOKUP(B520,'Dictionnaire des variables'!$B:$C,2,0)</f>
        <v>Part des personnes de 55 à 64 ans</v>
      </c>
    </row>
    <row r="521" spans="2:3" hidden="1" x14ac:dyDescent="0.25">
      <c r="B521" t="s">
        <v>1048</v>
      </c>
      <c r="C521" t="str">
        <f>VLOOKUP(B521,'Dictionnaire des variables'!$B:$C,2,0)</f>
        <v>Part des personnes de 15 ans ou plus</v>
      </c>
    </row>
    <row r="522" spans="2:3" hidden="1" x14ac:dyDescent="0.25">
      <c r="B522" t="s">
        <v>1049</v>
      </c>
      <c r="C522" t="str">
        <f>VLOOKUP(B522,'Dictionnaire des variables'!$B:$C,2,0)</f>
        <v>Part des personnes de 55 à 79 ans</v>
      </c>
    </row>
    <row r="523" spans="2:3" hidden="1" x14ac:dyDescent="0.25">
      <c r="B523" t="s">
        <v>1050</v>
      </c>
      <c r="C523" t="str">
        <f>VLOOKUP(B523,'Dictionnaire des variables'!$B:$C,2,0)</f>
        <v>Part des personnes de 80 ans ou plus</v>
      </c>
    </row>
    <row r="524" spans="2:3" hidden="1" x14ac:dyDescent="0.25">
      <c r="B524" t="s">
        <v>1051</v>
      </c>
      <c r="C524" t="str">
        <f>VLOOKUP(B524,'Dictionnaire des variables'!$B:$C,2,0)</f>
        <v>Part des personnes des ménages de 15 ans ou plus</v>
      </c>
    </row>
    <row r="525" spans="2:3" hidden="1" x14ac:dyDescent="0.25">
      <c r="B525" t="s">
        <v>1052</v>
      </c>
      <c r="C525" t="str">
        <f>VLOOKUP(B525,'Dictionnaire des variables'!$B:$C,2,0)</f>
        <v>Part des personnes des ménages de 15 à 24 ans</v>
      </c>
    </row>
    <row r="526" spans="2:3" hidden="1" x14ac:dyDescent="0.25">
      <c r="B526" t="s">
        <v>1053</v>
      </c>
      <c r="C526" t="str">
        <f>VLOOKUP(B526,'Dictionnaire des variables'!$B:$C,2,0)</f>
        <v>Part des personnes des ménages de 25 à 54 ans</v>
      </c>
    </row>
    <row r="527" spans="2:3" hidden="1" x14ac:dyDescent="0.25">
      <c r="B527" t="s">
        <v>1054</v>
      </c>
      <c r="C527" t="str">
        <f>VLOOKUP(B527,'Dictionnaire des variables'!$B:$C,2,0)</f>
        <v>Part des personnes des ménages de 55 à 79 ans</v>
      </c>
    </row>
    <row r="528" spans="2:3" hidden="1" x14ac:dyDescent="0.25">
      <c r="B528" t="s">
        <v>1055</v>
      </c>
      <c r="C528" t="str">
        <f>VLOOKUP(B528,'Dictionnaire des variables'!$B:$C,2,0)</f>
        <v>Part des personnes des ménages de 80 ans ou plus</v>
      </c>
    </row>
    <row r="529" spans="2:3" hidden="1" x14ac:dyDescent="0.25">
      <c r="B529" t="s">
        <v>1056</v>
      </c>
      <c r="C529" t="str">
        <f>VLOOKUP(B529,'Dictionnaire des variables'!$B:$C,2,0)</f>
        <v>Part des personnes de 15 ans ou plus vivant seules</v>
      </c>
    </row>
    <row r="530" spans="2:3" hidden="1" x14ac:dyDescent="0.25">
      <c r="B530" t="s">
        <v>1057</v>
      </c>
      <c r="C530" t="str">
        <f>VLOOKUP(B530,'Dictionnaire des variables'!$B:$C,2,0)</f>
        <v>Part des personnes de 15 à 24 ans vivant seules</v>
      </c>
    </row>
    <row r="531" spans="2:3" hidden="1" x14ac:dyDescent="0.25">
      <c r="B531" t="s">
        <v>1058</v>
      </c>
      <c r="C531" t="str">
        <f>VLOOKUP(B531,'Dictionnaire des variables'!$B:$C,2,0)</f>
        <v>Part des personnes de 25 à 54 ans vivant seules</v>
      </c>
    </row>
    <row r="532" spans="2:3" hidden="1" x14ac:dyDescent="0.25">
      <c r="B532" t="s">
        <v>1059</v>
      </c>
      <c r="C532" t="str">
        <f>VLOOKUP(B532,'Dictionnaire des variables'!$B:$C,2,0)</f>
        <v>Part des personnes de 55 à 79 ans vivant seules</v>
      </c>
    </row>
    <row r="533" spans="2:3" hidden="1" x14ac:dyDescent="0.25">
      <c r="B533" t="s">
        <v>1060</v>
      </c>
      <c r="C533" t="str">
        <f>VLOOKUP(B533,'Dictionnaire des variables'!$B:$C,2,0)</f>
        <v>Part des personnes de 80 ans ou plus vivant seules</v>
      </c>
    </row>
    <row r="534" spans="2:3" hidden="1" x14ac:dyDescent="0.25">
      <c r="B534" t="s">
        <v>1061</v>
      </c>
      <c r="C534" t="str">
        <f>VLOOKUP(B534,'Dictionnaire des variables'!$B:$C,2,0)</f>
        <v>Part des personnes de 15 ans ou plus mariées</v>
      </c>
    </row>
    <row r="535" spans="2:3" hidden="1" x14ac:dyDescent="0.25">
      <c r="B535" t="s">
        <v>1062</v>
      </c>
      <c r="C535" t="str">
        <f>VLOOKUP(B535,'Dictionnaire des variables'!$B:$C,2,0)</f>
        <v>Part des personnes de 15 ans ou plus non mariées</v>
      </c>
    </row>
    <row r="536" spans="2:3" hidden="1" x14ac:dyDescent="0.25">
      <c r="B536" t="s">
        <v>1063</v>
      </c>
      <c r="C536" t="str">
        <f>VLOOKUP(B536,'Dictionnaire des variables'!$B:$C,2,0)</f>
        <v>Part des personnes de 2 à 5 ans</v>
      </c>
    </row>
    <row r="537" spans="2:3" hidden="1" x14ac:dyDescent="0.25">
      <c r="B537" t="s">
        <v>1064</v>
      </c>
      <c r="C537" t="str">
        <f>VLOOKUP(B537,'Dictionnaire des variables'!$B:$C,2,0)</f>
        <v>Part des personnes de 6 à 10 ans</v>
      </c>
    </row>
    <row r="538" spans="2:3" hidden="1" x14ac:dyDescent="0.25">
      <c r="B538" t="s">
        <v>1065</v>
      </c>
      <c r="C538" t="str">
        <f>VLOOKUP(B538,'Dictionnaire des variables'!$B:$C,2,0)</f>
        <v>Part des personnes de 11 à 14 ans</v>
      </c>
    </row>
    <row r="539" spans="2:3" hidden="1" x14ac:dyDescent="0.25">
      <c r="B539" t="s">
        <v>1066</v>
      </c>
      <c r="C539" t="str">
        <f>VLOOKUP(B539,'Dictionnaire des variables'!$B:$C,2,0)</f>
        <v>Part des personnes de 15 à 17 ans</v>
      </c>
    </row>
    <row r="540" spans="2:3" hidden="1" x14ac:dyDescent="0.25">
      <c r="B540" t="s">
        <v>1067</v>
      </c>
      <c r="C540" t="str">
        <f>VLOOKUP(B540,'Dictionnaire des variables'!$B:$C,2,0)</f>
        <v>Part des personnes de 18 à 24 ans</v>
      </c>
    </row>
    <row r="541" spans="2:3" hidden="1" x14ac:dyDescent="0.25">
      <c r="B541" t="s">
        <v>1068</v>
      </c>
      <c r="C541" t="str">
        <f>VLOOKUP(B541,'Dictionnaire des variables'!$B:$C,2,0)</f>
        <v>Part des personnes de 25 à 29 ans</v>
      </c>
    </row>
    <row r="542" spans="2:3" hidden="1" x14ac:dyDescent="0.25">
      <c r="B542" t="s">
        <v>1069</v>
      </c>
      <c r="C542" t="str">
        <f>VLOOKUP(B542,'Dictionnaire des variables'!$B:$C,2,0)</f>
        <v>Part des personnes de 30 ans ou plus</v>
      </c>
    </row>
    <row r="543" spans="2:3" x14ac:dyDescent="0.25">
      <c r="B543" t="s">
        <v>1497</v>
      </c>
      <c r="C543" t="e">
        <f>VLOOKUP(B543,'Dictionnaire des variables'!$B:$C,2,0)</f>
        <v>#N/A</v>
      </c>
    </row>
    <row r="544" spans="2:3" hidden="1" x14ac:dyDescent="0.25">
      <c r="B544" t="s">
        <v>1070</v>
      </c>
      <c r="C544" t="str">
        <f>VLOOKUP(B544,'Dictionnaire des variables'!$B:$C,2,0)</f>
        <v>Part des personnes de 0 à 2 ans</v>
      </c>
    </row>
    <row r="545" spans="2:3" hidden="1" x14ac:dyDescent="0.25">
      <c r="B545" t="s">
        <v>1071</v>
      </c>
      <c r="C545" t="str">
        <f>VLOOKUP(B545,'Dictionnaire des variables'!$B:$C,2,0)</f>
        <v>Part des personnes de 3 à 5 ans</v>
      </c>
    </row>
    <row r="546" spans="2:3" hidden="1" x14ac:dyDescent="0.25">
      <c r="B546" t="s">
        <v>1072</v>
      </c>
      <c r="C546" t="str">
        <f>VLOOKUP(B546,'Dictionnaire des variables'!$B:$C,2,0)</f>
        <v>Part des personnes de 11 à 17 ans</v>
      </c>
    </row>
    <row r="547" spans="2:3" hidden="1" x14ac:dyDescent="0.25">
      <c r="B547" t="s">
        <v>1073</v>
      </c>
      <c r="C547" t="str">
        <f>VLOOKUP(B547,'Dictionnaire des variables'!$B:$C,2,0)</f>
        <v>Part des personnes de 25 à 39 ans</v>
      </c>
    </row>
    <row r="548" spans="2:3" hidden="1" x14ac:dyDescent="0.25">
      <c r="B548" t="s">
        <v>1074</v>
      </c>
      <c r="C548" t="str">
        <f>VLOOKUP(B548,'Dictionnaire des variables'!$B:$C,2,0)</f>
        <v>Part des personnes de 40 à 54 ans</v>
      </c>
    </row>
    <row r="549" spans="2:3" hidden="1" x14ac:dyDescent="0.25">
      <c r="B549" t="s">
        <v>1075</v>
      </c>
      <c r="C549" t="str">
        <f>VLOOKUP(B549,'Dictionnaire des variables'!$B:$C,2,0)</f>
        <v>Part des personnes de 65 à 79 ans</v>
      </c>
    </row>
    <row r="550" spans="2:3" hidden="1" x14ac:dyDescent="0.25">
      <c r="B550" t="s">
        <v>1076</v>
      </c>
      <c r="C550" t="str">
        <f>VLOOKUP(B550,'Dictionnaire des variables'!$B:$C,2,0)</f>
        <v>Part des personnes de 0 à 14 ans</v>
      </c>
    </row>
    <row r="551" spans="2:3" hidden="1" x14ac:dyDescent="0.25">
      <c r="B551" t="s">
        <v>1077</v>
      </c>
      <c r="C551" t="str">
        <f>VLOOKUP(B551,'Dictionnaire des variables'!$B:$C,2,0)</f>
        <v>Part des personnes de 15 à 29 ans</v>
      </c>
    </row>
    <row r="552" spans="2:3" hidden="1" x14ac:dyDescent="0.25">
      <c r="B552" t="s">
        <v>1078</v>
      </c>
      <c r="C552" t="str">
        <f>VLOOKUP(B552,'Dictionnaire des variables'!$B:$C,2,0)</f>
        <v>Part des personnes de 30 à 44 ans</v>
      </c>
    </row>
    <row r="553" spans="2:3" hidden="1" x14ac:dyDescent="0.25">
      <c r="B553" t="s">
        <v>1079</v>
      </c>
      <c r="C553" t="str">
        <f>VLOOKUP(B553,'Dictionnaire des variables'!$B:$C,2,0)</f>
        <v>Part des personnes de 45 à 59 ans</v>
      </c>
    </row>
    <row r="554" spans="2:3" hidden="1" x14ac:dyDescent="0.25">
      <c r="B554" t="s">
        <v>1080</v>
      </c>
      <c r="C554" t="str">
        <f>VLOOKUP(B554,'Dictionnaire des variables'!$B:$C,2,0)</f>
        <v>Part des personnes de 60 à 74 ans</v>
      </c>
    </row>
    <row r="555" spans="2:3" hidden="1" x14ac:dyDescent="0.25">
      <c r="B555" t="s">
        <v>1081</v>
      </c>
      <c r="C555" t="str">
        <f>VLOOKUP(B555,'Dictionnaire des variables'!$B:$C,2,0)</f>
        <v>Part des personnes de 75 ans ou plus</v>
      </c>
    </row>
    <row r="556" spans="2:3" hidden="1" x14ac:dyDescent="0.25">
      <c r="B556" t="s">
        <v>1082</v>
      </c>
      <c r="C556" t="str">
        <f>VLOOKUP(B556,'Dictionnaire des variables'!$B:$C,2,0)</f>
        <v>Part des personnes de 0 à 19 ans</v>
      </c>
    </row>
    <row r="557" spans="2:3" hidden="1" x14ac:dyDescent="0.25">
      <c r="B557" t="s">
        <v>1083</v>
      </c>
      <c r="C557" t="str">
        <f>VLOOKUP(B557,'Dictionnaire des variables'!$B:$C,2,0)</f>
        <v>Part des personnes de 20 à 64 ans</v>
      </c>
    </row>
    <row r="558" spans="2:3" hidden="1" x14ac:dyDescent="0.25">
      <c r="B558" t="s">
        <v>1084</v>
      </c>
      <c r="C558" t="str">
        <f>VLOOKUP(B558,'Dictionnaire des variables'!$B:$C,2,0)</f>
        <v>Part des personnes de 65 ans ou plus</v>
      </c>
    </row>
    <row r="559" spans="2:3" hidden="1" x14ac:dyDescent="0.25">
      <c r="B559" t="s">
        <v>1085</v>
      </c>
      <c r="C559" t="str">
        <f>VLOOKUP(B559,'Dictionnaire des variables'!$B:$C,2,0)</f>
        <v>Part des hommes</v>
      </c>
    </row>
    <row r="560" spans="2:3" hidden="1" x14ac:dyDescent="0.25">
      <c r="B560" t="s">
        <v>1086</v>
      </c>
      <c r="C560" t="str">
        <f>VLOOKUP(B560,'Dictionnaire des variables'!$B:$C,2,0)</f>
        <v>Part des femmes</v>
      </c>
    </row>
    <row r="561" spans="2:3" hidden="1" x14ac:dyDescent="0.25">
      <c r="B561" t="s">
        <v>1087</v>
      </c>
      <c r="C561" t="str">
        <f>VLOOKUP(B561,'Dictionnaire des variables'!$B:$C,2,0)</f>
        <v>Part des personnes de nationalité française</v>
      </c>
    </row>
    <row r="562" spans="2:3" hidden="1" x14ac:dyDescent="0.25">
      <c r="B562" t="s">
        <v>1088</v>
      </c>
      <c r="C562" t="str">
        <f>VLOOKUP(B562,'Dictionnaire des variables'!$B:$C,2,0)</f>
        <v>Part des personnes étrangères</v>
      </c>
    </row>
    <row r="563" spans="2:3" hidden="1" x14ac:dyDescent="0.25">
      <c r="B563" t="s">
        <v>1089</v>
      </c>
      <c r="C563" t="str">
        <f>VLOOKUP(B563,'Dictionnaire des variables'!$B:$C,2,0)</f>
        <v>Part des personnes immigrées</v>
      </c>
    </row>
    <row r="564" spans="2:3" hidden="1" x14ac:dyDescent="0.25">
      <c r="B564" t="s">
        <v>1090</v>
      </c>
      <c r="C564" t="str">
        <f>VLOOKUP(B564,'Dictionnaire des variables'!$B:$C,2,0)</f>
        <v>P13 024</v>
      </c>
    </row>
    <row r="565" spans="2:3" hidden="1" x14ac:dyDescent="0.25">
      <c r="B565" t="s">
        <v>1091</v>
      </c>
      <c r="C565" t="str">
        <f>VLOOKUP(B565,'Dictionnaire des variables'!$B:$C,2,0)</f>
        <v>P13 25etplus</v>
      </c>
    </row>
    <row r="566" spans="2:3" x14ac:dyDescent="0.25">
      <c r="B566" t="s">
        <v>1671</v>
      </c>
      <c r="C566" t="str">
        <f>VLOOKUP(B566,'Dictionnaire des variables'!$B:$C,2,0)</f>
        <v>Part des moins de 25 ans</v>
      </c>
    </row>
    <row r="567" spans="2:3" hidden="1" x14ac:dyDescent="0.25">
      <c r="B567" t="s">
        <v>19</v>
      </c>
      <c r="C567" t="str">
        <f>VLOOKUP(B567,'Dictionnaire des variables'!$B:$C,2,0)</f>
        <v>Croissance démographique (2006-2013)</v>
      </c>
    </row>
    <row r="568" spans="2:3" hidden="1" x14ac:dyDescent="0.25">
      <c r="B568" t="s">
        <v>22</v>
      </c>
      <c r="C568" t="str">
        <f>VLOOKUP(B568,'Dictionnaire des variables'!$B:$C,2,0)</f>
        <v>Croissance démographique (2012-2013)</v>
      </c>
    </row>
    <row r="569" spans="2:3" hidden="1" x14ac:dyDescent="0.25">
      <c r="B569" t="s">
        <v>1456</v>
      </c>
      <c r="C569" t="str">
        <f>VLOOKUP(B569,'Dictionnaire des variables'!$B:$C,2,0)</f>
        <v>Part des étudiants</v>
      </c>
    </row>
    <row r="570" spans="2:3" hidden="1" x14ac:dyDescent="0.25">
      <c r="B570" t="s">
        <v>1457</v>
      </c>
      <c r="C570" t="str">
        <f>VLOOKUP(B570,'Dictionnaire des variables'!$B:$C,2,0)</f>
        <v>Part des retraités</v>
      </c>
    </row>
    <row r="571" spans="2:3" hidden="1" x14ac:dyDescent="0.25">
      <c r="B571" t="s">
        <v>1578</v>
      </c>
      <c r="C571" t="str">
        <f>VLOOKUP(B571,'Dictionnaire des variables'!$B:$C,2,0)</f>
        <v>Un couple avec enfant(s) (% des familles)</v>
      </c>
    </row>
    <row r="572" spans="2:3" hidden="1" x14ac:dyDescent="0.25">
      <c r="B572" t="s">
        <v>1579</v>
      </c>
      <c r="C572" t="str">
        <f>VLOOKUP(B572,'Dictionnaire des variables'!$B:$C,2,0)</f>
        <v>Famille monoparentale (% des familles)</v>
      </c>
    </row>
    <row r="573" spans="2:3" hidden="1" x14ac:dyDescent="0.25">
      <c r="B573" t="s">
        <v>1580</v>
      </c>
      <c r="C573" t="str">
        <f>VLOOKUP(B573,'Dictionnaire des variables'!$B:$C,2,0)</f>
        <v>Un couple sans enfant (% des familles)</v>
      </c>
    </row>
    <row r="574" spans="2:3" hidden="1" x14ac:dyDescent="0.25">
      <c r="B574" t="s">
        <v>1581</v>
      </c>
      <c r="C574" t="str">
        <f>VLOOKUP(B574,'Dictionnaire des variables'!$B:$C,2,0)</f>
        <v>Famille avec 0 enfant de moins de 25 ans (% des familles)</v>
      </c>
    </row>
    <row r="575" spans="2:3" hidden="1" x14ac:dyDescent="0.25">
      <c r="B575" t="s">
        <v>1582</v>
      </c>
      <c r="C575" t="str">
        <f>VLOOKUP(B575,'Dictionnaire des variables'!$B:$C,2,0)</f>
        <v>1 enfant de moins de 25 ans (% des familles)</v>
      </c>
    </row>
    <row r="576" spans="2:3" hidden="1" x14ac:dyDescent="0.25">
      <c r="B576" t="s">
        <v>1583</v>
      </c>
      <c r="C576" t="str">
        <f>VLOOKUP(B576,'Dictionnaire des variables'!$B:$C,2,0)</f>
        <v>2 enfants de moins de 25 ans (% des familles)</v>
      </c>
    </row>
    <row r="577" spans="2:3" hidden="1" x14ac:dyDescent="0.25">
      <c r="B577" t="s">
        <v>1584</v>
      </c>
      <c r="C577" t="str">
        <f>VLOOKUP(B577,'Dictionnaire des variables'!$B:$C,2,0)</f>
        <v>3 enfants de moins de 25 ans (% des familles)</v>
      </c>
    </row>
    <row r="578" spans="2:3" hidden="1" x14ac:dyDescent="0.25">
      <c r="B578" t="s">
        <v>1585</v>
      </c>
      <c r="C578" t="str">
        <f>VLOOKUP(B578,'Dictionnaire des variables'!$B:$C,2,0)</f>
        <v>4 enfants ou plus de moins de 25 ans (% des familles)</v>
      </c>
    </row>
    <row r="579" spans="2:3" hidden="1" x14ac:dyDescent="0.25">
      <c r="B579" t="s">
        <v>24</v>
      </c>
      <c r="C579" t="str">
        <f>VLOOKUP(B579,'Dictionnaire des variables'!$B:$C,2,0)</f>
        <v>Part des résidences principales</v>
      </c>
    </row>
    <row r="580" spans="2:3" hidden="1" x14ac:dyDescent="0.25">
      <c r="B580" t="s">
        <v>1451</v>
      </c>
      <c r="C580" t="str">
        <f>VLOOKUP(B580,'Dictionnaire des variables'!$B:$C,2,0)</f>
        <v>Part des résidences secondaires</v>
      </c>
    </row>
    <row r="581" spans="2:3" hidden="1" x14ac:dyDescent="0.25">
      <c r="B581" t="s">
        <v>1452</v>
      </c>
      <c r="C581" t="str">
        <f>VLOOKUP(B581,'Dictionnaire des variables'!$B:$C,2,0)</f>
        <v>Part des logements vacants</v>
      </c>
    </row>
    <row r="582" spans="2:3" hidden="1" x14ac:dyDescent="0.25">
      <c r="B582" t="s">
        <v>1453</v>
      </c>
      <c r="C582" t="str">
        <f>VLOOKUP(B582,'Dictionnaire des variables'!$B:$C,2,0)</f>
        <v>Part des logements HLM</v>
      </c>
    </row>
    <row r="583" spans="2:3" hidden="1" x14ac:dyDescent="0.25">
      <c r="B583" t="s">
        <v>1454</v>
      </c>
      <c r="C583" t="str">
        <f>VLOOKUP(B583,'Dictionnaire des variables'!$B:$C,2,0)</f>
        <v>Part des résidences principales occupées par des propriétaires</v>
      </c>
    </row>
    <row r="584" spans="2:3" hidden="1" x14ac:dyDescent="0.25">
      <c r="B584" t="s">
        <v>1455</v>
      </c>
      <c r="C584" t="str">
        <f>VLOOKUP(B584,'Dictionnaire des variables'!$B:$C,2,0)</f>
        <v>Part des ménages possédant au moins une voiture</v>
      </c>
    </row>
    <row r="585" spans="2:3" hidden="1" x14ac:dyDescent="0.25">
      <c r="B585" t="s">
        <v>1498</v>
      </c>
      <c r="C585" t="str">
        <f>VLOOKUP(B585,'Dictionnaire des variables'!$B:$C,2,0)</f>
        <v>Part des actifs occupés qui travaillent dans la commune de résidence</v>
      </c>
    </row>
    <row r="586" spans="2:3" hidden="1" x14ac:dyDescent="0.25">
      <c r="B586" t="s">
        <v>1499</v>
      </c>
      <c r="C586" t="str">
        <f>VLOOKUP(B586,'Dictionnaire des variables'!$B:$C,2,0)</f>
        <v>Part des actifs occupés qui travaillent dans une autre commune que la commune de résidence</v>
      </c>
    </row>
    <row r="587" spans="2:3" hidden="1" x14ac:dyDescent="0.25">
      <c r="B587" t="s">
        <v>1500</v>
      </c>
      <c r="C587" t="str">
        <f>VLOOKUP(B587,'Dictionnaire des variables'!$B:$C,2,0)</f>
        <v>Part des actifs occupés qui travaillent dans une autre commune située dans le département de résidence</v>
      </c>
    </row>
    <row r="588" spans="2:3" hidden="1" x14ac:dyDescent="0.25">
      <c r="B588" t="s">
        <v>1501</v>
      </c>
      <c r="C588" t="str">
        <f>VLOOKUP(B588,'Dictionnaire des variables'!$B:$C,2,0)</f>
        <v>Part des actifs occupés qui travaillent dans une autre commune située dans un autre département de la région de résidence</v>
      </c>
    </row>
    <row r="589" spans="2:3" hidden="1" x14ac:dyDescent="0.25">
      <c r="B589" t="s">
        <v>1502</v>
      </c>
      <c r="C589" t="str">
        <f>VLOOKUP(B589,'Dictionnaire des variables'!$B:$C,2,0)</f>
        <v>Pas de moyen de transport utilisé (% des actifs occupés)</v>
      </c>
    </row>
    <row r="590" spans="2:3" hidden="1" x14ac:dyDescent="0.25">
      <c r="B590" t="s">
        <v>1503</v>
      </c>
      <c r="C590" t="str">
        <f>VLOOKUP(B590,'Dictionnaire des variables'!$B:$C,2,0)</f>
        <v>A pied (% des actifs occupés)</v>
      </c>
    </row>
    <row r="591" spans="2:3" hidden="1" x14ac:dyDescent="0.25">
      <c r="B591" t="s">
        <v>1504</v>
      </c>
      <c r="C591" t="str">
        <f>VLOOKUP(B591,'Dictionnaire des variables'!$B:$C,2,0)</f>
        <v>Deux roues (% des actifs occupés)</v>
      </c>
    </row>
    <row r="592" spans="2:3" hidden="1" x14ac:dyDescent="0.25">
      <c r="B592" t="s">
        <v>1505</v>
      </c>
      <c r="C592" t="str">
        <f>VLOOKUP(B592,'Dictionnaire des variables'!$B:$C,2,0)</f>
        <v>Voiture ou camion (% des actifs occupés)</v>
      </c>
    </row>
    <row r="593" spans="2:3" hidden="1" x14ac:dyDescent="0.25">
      <c r="B593" t="s">
        <v>1506</v>
      </c>
      <c r="C593" t="str">
        <f>VLOOKUP(B593,'Dictionnaire des variables'!$B:$C,2,0)</f>
        <v>Transports en commun (% des actifs occupés)</v>
      </c>
    </row>
    <row r="594" spans="2:3" hidden="1" x14ac:dyDescent="0.25">
      <c r="B594" t="s">
        <v>80</v>
      </c>
      <c r="C594" t="str">
        <f>VLOOKUP(B594,'Dictionnaire des variables'!$B:$C,2,0)</f>
        <v>Part des agriculteurs exploitants actifs de 15 à 64 ans</v>
      </c>
    </row>
    <row r="595" spans="2:3" hidden="1" x14ac:dyDescent="0.25">
      <c r="B595" t="s">
        <v>81</v>
      </c>
      <c r="C595" t="str">
        <f>VLOOKUP(B595,'Dictionnaire des variables'!$B:$C,2,0)</f>
        <v>Part des artisans, commerçants, chefs d entreprise actifs de 15 à 64 ans</v>
      </c>
    </row>
    <row r="596" spans="2:3" hidden="1" x14ac:dyDescent="0.25">
      <c r="B596" t="s">
        <v>82</v>
      </c>
      <c r="C596" t="str">
        <f>VLOOKUP(B596,'Dictionnaire des variables'!$B:$C,2,0)</f>
        <v>Part des  cadres et professions intellectuelles supérieures actifs de 15 à 64 ans</v>
      </c>
    </row>
    <row r="597" spans="2:3" hidden="1" x14ac:dyDescent="0.25">
      <c r="B597" t="s">
        <v>83</v>
      </c>
      <c r="C597" t="str">
        <f>VLOOKUP(B597,'Dictionnaire des variables'!$B:$C,2,0)</f>
        <v>Part des  professions intermédiaires actifs de 15 à 64 ans</v>
      </c>
    </row>
    <row r="598" spans="2:3" hidden="1" x14ac:dyDescent="0.25">
      <c r="B598" t="s">
        <v>84</v>
      </c>
      <c r="C598" t="str">
        <f>VLOOKUP(B598,'Dictionnaire des variables'!$B:$C,2,0)</f>
        <v>Part des employés actifs de 15 à 64 ans</v>
      </c>
    </row>
    <row r="599" spans="2:3" hidden="1" x14ac:dyDescent="0.25">
      <c r="B599" t="s">
        <v>85</v>
      </c>
      <c r="C599" t="str">
        <f>VLOOKUP(B599,'Dictionnaire des variables'!$B:$C,2,0)</f>
        <v>Part des ouvriers actifs de 15 à 64 ans</v>
      </c>
    </row>
    <row r="600" spans="2:3" hidden="1" x14ac:dyDescent="0.25">
      <c r="B600" t="s">
        <v>1507</v>
      </c>
      <c r="C600" t="str">
        <f>VLOOKUP(B600,'Dictionnaire des variables'!$B:$C,2,0)</f>
        <v>CDI ou fonctionnaire (% des personnes salariées)</v>
      </c>
    </row>
    <row r="601" spans="2:3" hidden="1" x14ac:dyDescent="0.25">
      <c r="B601" t="s">
        <v>1508</v>
      </c>
      <c r="C601" t="str">
        <f>VLOOKUP(B601,'Dictionnaire des variables'!$B:$C,2,0)</f>
        <v>CDD (% des personnes salariées)</v>
      </c>
    </row>
    <row r="602" spans="2:3" hidden="1" x14ac:dyDescent="0.25">
      <c r="B602" t="s">
        <v>1509</v>
      </c>
      <c r="C602" t="str">
        <f>VLOOKUP(B602,'Dictionnaire des variables'!$B:$C,2,0)</f>
        <v>Intérim (% des personnes salariées)</v>
      </c>
    </row>
    <row r="603" spans="2:3" hidden="1" x14ac:dyDescent="0.25">
      <c r="B603" t="s">
        <v>1510</v>
      </c>
      <c r="C603" t="str">
        <f>VLOOKUP(B603,'Dictionnaire des variables'!$B:$C,2,0)</f>
        <v>Emploi aidé (% des personnes salariées)</v>
      </c>
    </row>
    <row r="604" spans="2:3" hidden="1" x14ac:dyDescent="0.25">
      <c r="B604" t="s">
        <v>1511</v>
      </c>
      <c r="C604" t="str">
        <f>VLOOKUP(B604,'Dictionnaire des variables'!$B:$C,2,0)</f>
        <v>Apprentissage ou stage (% des personnes salariées)</v>
      </c>
    </row>
    <row r="605" spans="2:3" hidden="1" x14ac:dyDescent="0.25">
      <c r="B605" t="s">
        <v>30</v>
      </c>
      <c r="C605" t="str">
        <f>VLOOKUP(B605,'Dictionnaire des variables'!$B:$C,2,0)</f>
        <v>Taux de chômage en 2013</v>
      </c>
    </row>
    <row r="606" spans="2:3" hidden="1" x14ac:dyDescent="0.25">
      <c r="B606" t="s">
        <v>1092</v>
      </c>
      <c r="C606" t="str">
        <f>VLOOKUP(B606,'Dictionnaire des variables'!$B:$C,2,0)</f>
        <v>Taux de chômage en 2006</v>
      </c>
    </row>
    <row r="607" spans="2:3" hidden="1" x14ac:dyDescent="0.25">
      <c r="B607" t="s">
        <v>1094</v>
      </c>
      <c r="C607" t="str">
        <f>VLOOKUP(B607,'Dictionnaire des variables'!$B:$C,2,0)</f>
        <v>Taux de chômage en 2012</v>
      </c>
    </row>
    <row r="608" spans="2:3" hidden="1" x14ac:dyDescent="0.25">
      <c r="B608" t="s">
        <v>32</v>
      </c>
      <c r="C608" t="str">
        <f>VLOOKUP(B608,'Dictionnaire des variables'!$B:$C,2,0)</f>
        <v>Taux de chômage des jeunes en 2013 (15-24 ans)</v>
      </c>
    </row>
    <row r="609" spans="2:3" hidden="1" x14ac:dyDescent="0.25">
      <c r="B609" t="s">
        <v>1093</v>
      </c>
      <c r="C609" t="str">
        <f>VLOOKUP(B609,'Dictionnaire des variables'!$B:$C,2,0)</f>
        <v>Taux de chômage des jeunes en 2006 (15-24 ans)</v>
      </c>
    </row>
    <row r="610" spans="2:3" hidden="1" x14ac:dyDescent="0.25">
      <c r="B610" t="s">
        <v>1095</v>
      </c>
      <c r="C610" t="str">
        <f>VLOOKUP(B610,'Dictionnaire des variables'!$B:$C,2,0)</f>
        <v>Taux de chômage des jeunes en 2012 (15-24 ans)</v>
      </c>
    </row>
    <row r="611" spans="2:3" hidden="1" x14ac:dyDescent="0.25">
      <c r="B611" t="s">
        <v>33</v>
      </c>
      <c r="C611" t="str">
        <f>VLOOKUP(B611,'Dictionnaire des variables'!$B:$C,2,0)</f>
        <v>Evolution du taux de chômage (2012-2013)</v>
      </c>
    </row>
    <row r="612" spans="2:3" hidden="1" x14ac:dyDescent="0.25">
      <c r="B612" t="s">
        <v>38</v>
      </c>
      <c r="C612" t="str">
        <f>VLOOKUP(B612,'Dictionnaire des variables'!$B:$C,2,0)</f>
        <v>Evolution du taux de chômage (2006-2013)</v>
      </c>
    </row>
    <row r="613" spans="2:3" hidden="1" x14ac:dyDescent="0.25">
      <c r="B613" t="s">
        <v>36</v>
      </c>
      <c r="C613" t="str">
        <f>VLOOKUP(B613,'Dictionnaire des variables'!$B:$C,2,0)</f>
        <v>Evolution du taux de chômage des jeunes (2012-2013)</v>
      </c>
    </row>
    <row r="614" spans="2:3" hidden="1" x14ac:dyDescent="0.25">
      <c r="B614" t="s">
        <v>40</v>
      </c>
      <c r="C614" t="str">
        <f>VLOOKUP(B614,'Dictionnaire des variables'!$B:$C,2,0)</f>
        <v>Evolution du taux de chômage des jeunes (2006-2013)</v>
      </c>
    </row>
    <row r="615" spans="2:3" hidden="1" x14ac:dyDescent="0.25">
      <c r="B615" t="s">
        <v>1096</v>
      </c>
      <c r="C615" t="str">
        <f>VLOOKUP(B615,'Dictionnaire des variables'!$B:$C,2,0)</f>
        <v>BEPC/Brevet (Part de la population non scolarisée de 15 ans ou plus)</v>
      </c>
    </row>
    <row r="616" spans="2:3" hidden="1" x14ac:dyDescent="0.25">
      <c r="B616" t="s">
        <v>1097</v>
      </c>
      <c r="C616" t="str">
        <f>VLOOKUP(B616,'Dictionnaire des variables'!$B:$C,2,0)</f>
        <v>CAP ou BEP (Part de la population non scolarisée de 15 ans ou plus)</v>
      </c>
    </row>
    <row r="617" spans="2:3" hidden="1" x14ac:dyDescent="0.25">
      <c r="B617" t="s">
        <v>1098</v>
      </c>
      <c r="C617" t="str">
        <f>VLOOKUP(B617,'Dictionnaire des variables'!$B:$C,2,0)</f>
        <v>Baccalauréat (Part de la population non scolarisée de 15 ans ou plus)</v>
      </c>
    </row>
    <row r="618" spans="2:3" hidden="1" x14ac:dyDescent="0.25">
      <c r="B618" t="s">
        <v>1099</v>
      </c>
      <c r="C618" t="str">
        <f>VLOOKUP(B618,'Dictionnaire des variables'!$B:$C,2,0)</f>
        <v>Enseignement supérieur (Part de la population non scolarisée de 15 ans ou plus)</v>
      </c>
    </row>
    <row r="619" spans="2:3" hidden="1" x14ac:dyDescent="0.25">
      <c r="B619" t="s">
        <v>1703</v>
      </c>
      <c r="C619" t="str">
        <f>VLOOKUP(B619,'Dictionnaire des variables'!$B:$C,2,0)</f>
        <v>Superficie en kilomètres carrés</v>
      </c>
    </row>
    <row r="620" spans="2:3" hidden="1" x14ac:dyDescent="0.25">
      <c r="B620" t="s">
        <v>1706</v>
      </c>
      <c r="C620" t="str">
        <f>VLOOKUP(B620,'Dictionnaire des variables'!$B:$C,2,0)</f>
        <v>Densité de population (habitants au kilomètre carré)</v>
      </c>
    </row>
    <row r="621" spans="2:3" hidden="1" x14ac:dyDescent="0.25">
      <c r="B621" t="s">
        <v>1535</v>
      </c>
      <c r="C621" t="str">
        <f>VLOOKUP(B621,'Dictionnaire des variables'!$B:$C,2,0)</f>
        <v>Entreprises immatriculées en 2016</v>
      </c>
    </row>
    <row r="622" spans="2:3" hidden="1" x14ac:dyDescent="0.25">
      <c r="B622" t="s">
        <v>1690</v>
      </c>
      <c r="C622" t="str">
        <f>VLOOKUP(B622,'Dictionnaire des variables'!$B:$C,2,0)</f>
        <v>Nombre offres Pôle Emploi au 14 février 2017</v>
      </c>
    </row>
    <row r="623" spans="2:3" hidden="1" x14ac:dyDescent="0.25">
      <c r="B623" t="s">
        <v>1118</v>
      </c>
      <c r="C623" t="str">
        <f>VLOOKUP(B623,'Dictionnaire des variables'!$B:$C,2,0)</f>
        <v>Adultes handicapés : hébergement</v>
      </c>
    </row>
    <row r="624" spans="2:3" hidden="1" x14ac:dyDescent="0.25">
      <c r="B624" t="s">
        <v>1119</v>
      </c>
      <c r="C624" t="str">
        <f>VLOOKUP(B624,'Dictionnaire des variables'!$B:$C,2,0)</f>
        <v>Adultes handicapés : services</v>
      </c>
    </row>
    <row r="625" spans="2:3" hidden="1" x14ac:dyDescent="0.25">
      <c r="B625" t="s">
        <v>950</v>
      </c>
      <c r="C625" t="str">
        <f>VLOOKUP(B625,'Dictionnaire des variables'!$B:$C,2,0)</f>
        <v>Agence de travail temporaire</v>
      </c>
    </row>
    <row r="626" spans="2:3" hidden="1" x14ac:dyDescent="0.25">
      <c r="B626" t="s">
        <v>951</v>
      </c>
      <c r="C626" t="str">
        <f>VLOOKUP(B626,'Dictionnaire des variables'!$B:$C,2,0)</f>
        <v>Agence de voyages</v>
      </c>
    </row>
    <row r="627" spans="2:3" hidden="1" x14ac:dyDescent="0.25">
      <c r="B627" t="s">
        <v>1352</v>
      </c>
      <c r="C627" t="str">
        <f>VLOOKUP(B627,'Dictionnaire des variables'!$B:$C,2,0)</f>
        <v>Agence immobilière</v>
      </c>
    </row>
    <row r="628" spans="2:3" hidden="1" x14ac:dyDescent="0.25">
      <c r="B628" t="s">
        <v>952</v>
      </c>
      <c r="C628" t="str">
        <f>VLOOKUP(B628,'Dictionnaire des variables'!$B:$C,2,0)</f>
        <v>Agence postale</v>
      </c>
    </row>
    <row r="629" spans="2:3" hidden="1" x14ac:dyDescent="0.25">
      <c r="B629" t="s">
        <v>1120</v>
      </c>
      <c r="C629" t="str">
        <f>VLOOKUP(B629,'Dictionnaire des variables'!$B:$C,2,0)</f>
        <v>Aide sociale à l enfance : action éducative</v>
      </c>
    </row>
    <row r="630" spans="2:3" hidden="1" x14ac:dyDescent="0.25">
      <c r="B630" t="s">
        <v>1121</v>
      </c>
      <c r="C630" t="str">
        <f>VLOOKUP(B630,'Dictionnaire des variables'!$B:$C,2,0)</f>
        <v>Aide sociale à l enfance : hébergement</v>
      </c>
    </row>
    <row r="631" spans="2:3" hidden="1" x14ac:dyDescent="0.25">
      <c r="B631" t="s">
        <v>953</v>
      </c>
      <c r="C631" t="str">
        <f>VLOOKUP(B631,'Dictionnaire des variables'!$B:$C,2,0)</f>
        <v>Ambulance</v>
      </c>
    </row>
    <row r="632" spans="2:3" hidden="1" x14ac:dyDescent="0.25">
      <c r="B632" t="s">
        <v>954</v>
      </c>
      <c r="C632" t="str">
        <f>VLOOKUP(B632,'Dictionnaire des variables'!$B:$C,2,0)</f>
        <v>Athlétisme</v>
      </c>
    </row>
    <row r="633" spans="2:3" hidden="1" x14ac:dyDescent="0.25">
      <c r="B633" t="s">
        <v>955</v>
      </c>
      <c r="C633" t="str">
        <f>VLOOKUP(B633,'Dictionnaire des variables'!$B:$C,2,0)</f>
        <v>Audio prothésiste</v>
      </c>
    </row>
    <row r="634" spans="2:3" hidden="1" x14ac:dyDescent="0.25">
      <c r="B634" t="s">
        <v>956</v>
      </c>
      <c r="C634" t="str">
        <f>VLOOKUP(B634,'Dictionnaire des variables'!$B:$C,2,0)</f>
        <v>Autre formation post bac non universitaire</v>
      </c>
    </row>
    <row r="635" spans="2:3" hidden="1" x14ac:dyDescent="0.25">
      <c r="B635" t="s">
        <v>957</v>
      </c>
      <c r="C635" t="str">
        <f>VLOOKUP(B635,'Dictionnaire des variables'!$B:$C,2,0)</f>
        <v>Autres enseignements supérieurs</v>
      </c>
    </row>
    <row r="636" spans="2:3" hidden="1" x14ac:dyDescent="0.25">
      <c r="B636" t="s">
        <v>958</v>
      </c>
      <c r="C636" t="str">
        <f>VLOOKUP(B636,'Dictionnaire des variables'!$B:$C,2,0)</f>
        <v>Autres formations continues</v>
      </c>
    </row>
    <row r="637" spans="2:3" hidden="1" x14ac:dyDescent="0.25">
      <c r="B637" t="s">
        <v>959</v>
      </c>
      <c r="C637" t="str">
        <f>VLOOKUP(B637,'Dictionnaire des variables'!$B:$C,2,0)</f>
        <v>Autres établissements pour adultes et familles en difficulté</v>
      </c>
    </row>
    <row r="638" spans="2:3" hidden="1" x14ac:dyDescent="0.25">
      <c r="B638" t="s">
        <v>960</v>
      </c>
      <c r="C638" t="str">
        <f>VLOOKUP(B638,'Dictionnaire des variables'!$B:$C,2,0)</f>
        <v>Aéroport</v>
      </c>
    </row>
    <row r="639" spans="2:3" hidden="1" x14ac:dyDescent="0.25">
      <c r="B639" t="s">
        <v>961</v>
      </c>
      <c r="C639" t="str">
        <f>VLOOKUP(B639,'Dictionnaire des variables'!$B:$C,2,0)</f>
        <v>Baignade aménagée</v>
      </c>
    </row>
    <row r="640" spans="2:3" hidden="1" x14ac:dyDescent="0.25">
      <c r="B640" t="s">
        <v>1122</v>
      </c>
      <c r="C640" t="str">
        <f>VLOOKUP(B640,'Dictionnaire des variables'!$B:$C,2,0)</f>
        <v>Banque</v>
      </c>
    </row>
    <row r="641" spans="2:3" hidden="1" x14ac:dyDescent="0.25">
      <c r="B641" t="s">
        <v>962</v>
      </c>
      <c r="C641" t="str">
        <f>VLOOKUP(B641,'Dictionnaire des variables'!$B:$C,2,0)</f>
        <v>Bassin de natation</v>
      </c>
    </row>
    <row r="642" spans="2:3" hidden="1" x14ac:dyDescent="0.25">
      <c r="B642" t="s">
        <v>963</v>
      </c>
      <c r="C642" t="str">
        <f>VLOOKUP(B642,'Dictionnaire des variables'!$B:$C,2,0)</f>
        <v>Blanchisserie-Teinturerie</v>
      </c>
    </row>
    <row r="643" spans="2:3" hidden="1" x14ac:dyDescent="0.25">
      <c r="B643" t="s">
        <v>964</v>
      </c>
      <c r="C643" t="str">
        <f>VLOOKUP(B643,'Dictionnaire des variables'!$B:$C,2,0)</f>
        <v>Boucherie charcuterie</v>
      </c>
    </row>
    <row r="644" spans="2:3" hidden="1" x14ac:dyDescent="0.25">
      <c r="B644" t="s">
        <v>965</v>
      </c>
      <c r="C644" t="str">
        <f>VLOOKUP(B644,'Dictionnaire des variables'!$B:$C,2,0)</f>
        <v>Boucle de randonnée</v>
      </c>
    </row>
    <row r="645" spans="2:3" hidden="1" x14ac:dyDescent="0.25">
      <c r="B645" t="s">
        <v>10</v>
      </c>
      <c r="C645" t="str">
        <f>VLOOKUP(B645,'Dictionnaire des variables'!$B:$C,2,0)</f>
        <v>Boulangerie</v>
      </c>
    </row>
    <row r="646" spans="2:3" hidden="1" x14ac:dyDescent="0.25">
      <c r="B646" t="s">
        <v>966</v>
      </c>
      <c r="C646" t="str">
        <f>VLOOKUP(B646,'Dictionnaire des variables'!$B:$C,2,0)</f>
        <v>Boulodrome</v>
      </c>
    </row>
    <row r="647" spans="2:3" hidden="1" x14ac:dyDescent="0.25">
      <c r="B647" t="s">
        <v>967</v>
      </c>
      <c r="C647" t="str">
        <f>VLOOKUP(B647,'Dictionnaire des variables'!$B:$C,2,0)</f>
        <v>Bowling</v>
      </c>
    </row>
    <row r="648" spans="2:3" hidden="1" x14ac:dyDescent="0.25">
      <c r="B648" t="s">
        <v>968</v>
      </c>
      <c r="C648" t="str">
        <f>VLOOKUP(B648,'Dictionnaire des variables'!$B:$C,2,0)</f>
        <v>Bureau de poste</v>
      </c>
    </row>
    <row r="649" spans="2:3" hidden="1" x14ac:dyDescent="0.25">
      <c r="B649" t="s">
        <v>1123</v>
      </c>
      <c r="C649" t="str">
        <f>VLOOKUP(B649,'Dictionnaire des variables'!$B:$C,2,0)</f>
        <v>CHRS : centre d hébergement et de réinsertion sociale</v>
      </c>
    </row>
    <row r="650" spans="2:3" hidden="1" x14ac:dyDescent="0.25">
      <c r="B650" t="s">
        <v>969</v>
      </c>
      <c r="C650" t="str">
        <f>VLOOKUP(B650,'Dictionnaire des variables'!$B:$C,2,0)</f>
        <v>Camping homologué</v>
      </c>
    </row>
    <row r="651" spans="2:3" hidden="1" x14ac:dyDescent="0.25">
      <c r="B651" t="s">
        <v>1124</v>
      </c>
      <c r="C651" t="str">
        <f>VLOOKUP(B651,'Dictionnaire des variables'!$B:$C,2,0)</f>
        <v>Centre accueil demandeur asile</v>
      </c>
    </row>
    <row r="652" spans="2:3" hidden="1" x14ac:dyDescent="0.25">
      <c r="B652" t="s">
        <v>1354</v>
      </c>
      <c r="C652" t="str">
        <f>VLOOKUP(B652,'Dictionnaire des variables'!$B:$C,2,0)</f>
        <v>Centre de formation d apprentis (hors agriculture)</v>
      </c>
    </row>
    <row r="653" spans="2:3" hidden="1" x14ac:dyDescent="0.25">
      <c r="B653" t="s">
        <v>430</v>
      </c>
      <c r="C653" t="str">
        <f>VLOOKUP(B653,'Dictionnaire des variables'!$B:$C,2,0)</f>
        <v>Centre de santé</v>
      </c>
    </row>
    <row r="654" spans="2:3" hidden="1" x14ac:dyDescent="0.25">
      <c r="B654" t="s">
        <v>970</v>
      </c>
      <c r="C654" t="str">
        <f>VLOOKUP(B654,'Dictionnaire des variables'!$B:$C,2,0)</f>
        <v>Centre dispensant de la formation continue agricole</v>
      </c>
    </row>
    <row r="655" spans="2:3" hidden="1" x14ac:dyDescent="0.25">
      <c r="B655" t="s">
        <v>1125</v>
      </c>
      <c r="C655" t="str">
        <f>VLOOKUP(B655,'Dictionnaire des variables'!$B:$C,2,0)</f>
        <v>Centre dispensant des formations d apprentissage agricole</v>
      </c>
    </row>
    <row r="656" spans="2:3" hidden="1" x14ac:dyDescent="0.25">
      <c r="B656" t="s">
        <v>971</v>
      </c>
      <c r="C656" t="str">
        <f>VLOOKUP(B656,'Dictionnaire des variables'!$B:$C,2,0)</f>
        <v>Centre médecine préventive</v>
      </c>
    </row>
    <row r="657" spans="2:3" hidden="1" x14ac:dyDescent="0.25">
      <c r="B657" t="s">
        <v>1126</v>
      </c>
      <c r="C657" t="str">
        <f>VLOOKUP(B657,'Dictionnaire des variables'!$B:$C,2,0)</f>
        <v>Centre provisoire d hébergement</v>
      </c>
    </row>
    <row r="658" spans="2:3" hidden="1" x14ac:dyDescent="0.25">
      <c r="B658" t="s">
        <v>972</v>
      </c>
      <c r="C658" t="str">
        <f>VLOOKUP(B658,'Dictionnaire des variables'!$B:$C,2,0)</f>
        <v>Centre équestre</v>
      </c>
    </row>
    <row r="659" spans="2:3" hidden="1" x14ac:dyDescent="0.25">
      <c r="B659" t="s">
        <v>431</v>
      </c>
      <c r="C659" t="str">
        <f>VLOOKUP(B659,'Dictionnaire des variables'!$B:$C,2,0)</f>
        <v>Chirurgien dentiste</v>
      </c>
    </row>
    <row r="660" spans="2:3" hidden="1" x14ac:dyDescent="0.25">
      <c r="B660" t="s">
        <v>11</v>
      </c>
      <c r="C660" t="str">
        <f>VLOOKUP(B660,'Dictionnaire des variables'!$B:$C,2,0)</f>
        <v>Cinéma</v>
      </c>
    </row>
    <row r="661" spans="2:3" hidden="1" x14ac:dyDescent="0.25">
      <c r="B661" t="s">
        <v>1355</v>
      </c>
      <c r="C661" t="str">
        <f>VLOOKUP(B661,'Dictionnaire des variables'!$B:$C,2,0)</f>
        <v>Classe maternelle RPI</v>
      </c>
    </row>
    <row r="662" spans="2:3" hidden="1" x14ac:dyDescent="0.25">
      <c r="B662" t="s">
        <v>1356</v>
      </c>
      <c r="C662" t="str">
        <f>VLOOKUP(B662,'Dictionnaire des variables'!$B:$C,2,0)</f>
        <v>Classe élémentaire RPI</v>
      </c>
    </row>
    <row r="663" spans="2:3" hidden="1" x14ac:dyDescent="0.25">
      <c r="B663" t="s">
        <v>432</v>
      </c>
      <c r="C663" t="str">
        <f>VLOOKUP(B663,'Dictionnaire des variables'!$B:$C,2,0)</f>
        <v>Salons de coiffure</v>
      </c>
    </row>
    <row r="664" spans="2:3" hidden="1" x14ac:dyDescent="0.25">
      <c r="B664" t="s">
        <v>12</v>
      </c>
      <c r="C664" t="str">
        <f>VLOOKUP(B664,'Dictionnaire des variables'!$B:$C,2,0)</f>
        <v>Collège</v>
      </c>
    </row>
    <row r="665" spans="2:3" hidden="1" x14ac:dyDescent="0.25">
      <c r="B665" t="s">
        <v>1357</v>
      </c>
      <c r="C665" t="str">
        <f>VLOOKUP(B665,'Dictionnaire des variables'!$B:$C,2,0)</f>
        <v>Conseil de prudhommes (CPH)</v>
      </c>
    </row>
    <row r="666" spans="2:3" hidden="1" x14ac:dyDescent="0.25">
      <c r="B666" t="s">
        <v>973</v>
      </c>
      <c r="C666" t="str">
        <f>VLOOKUP(B666,'Dictionnaire des variables'!$B:$C,2,0)</f>
        <v>Conservatoire</v>
      </c>
    </row>
    <row r="667" spans="2:3" hidden="1" x14ac:dyDescent="0.25">
      <c r="B667" t="s">
        <v>1353</v>
      </c>
      <c r="C667" t="str">
        <f>VLOOKUP(B667,'Dictionnaire des variables'!$B:$C,2,0)</f>
        <v>Contrôle technique automobile</v>
      </c>
    </row>
    <row r="668" spans="2:3" hidden="1" x14ac:dyDescent="0.25">
      <c r="B668" t="s">
        <v>1358</v>
      </c>
      <c r="C668" t="str">
        <f>VLOOKUP(B668,'Dictionnaire des variables'!$B:$C,2,0)</f>
        <v>Cour appel (CA)</v>
      </c>
    </row>
    <row r="669" spans="2:3" hidden="1" x14ac:dyDescent="0.25">
      <c r="B669" t="s">
        <v>974</v>
      </c>
      <c r="C669" t="str">
        <f>VLOOKUP(B669,'Dictionnaire des variables'!$B:$C,2,0)</f>
        <v>Dialyse</v>
      </c>
    </row>
    <row r="670" spans="2:3" hidden="1" x14ac:dyDescent="0.25">
      <c r="B670" t="s">
        <v>1359</v>
      </c>
      <c r="C670" t="str">
        <f>VLOOKUP(B670,'Dictionnaire des variables'!$B:$C,2,0)</f>
        <v>Direction Departementale des Finances Publiques (DDFIP)</v>
      </c>
    </row>
    <row r="671" spans="2:3" hidden="1" x14ac:dyDescent="0.25">
      <c r="B671" t="s">
        <v>1360</v>
      </c>
      <c r="C671" t="str">
        <f>VLOOKUP(B671,'Dictionnaire des variables'!$B:$C,2,0)</f>
        <v>Direction Generale des Finances Publiques (DGFIP)</v>
      </c>
    </row>
    <row r="672" spans="2:3" hidden="1" x14ac:dyDescent="0.25">
      <c r="B672" t="s">
        <v>1361</v>
      </c>
      <c r="C672" t="str">
        <f>VLOOKUP(B672,'Dictionnaire des variables'!$B:$C,2,0)</f>
        <v>Direction Regionale des Finances Publiques (DRFIP)</v>
      </c>
    </row>
    <row r="673" spans="2:3" hidden="1" x14ac:dyDescent="0.25">
      <c r="B673" t="s">
        <v>975</v>
      </c>
      <c r="C673" t="str">
        <f>VLOOKUP(B673,'Dictionnaire des variables'!$B:$C,2,0)</f>
        <v>Droguerie quincaillerie bricolage</v>
      </c>
    </row>
    <row r="674" spans="2:3" hidden="1" x14ac:dyDescent="0.25">
      <c r="B674" t="s">
        <v>976</v>
      </c>
      <c r="C674" t="str">
        <f>VLOOKUP(B674,'Dictionnaire des variables'!$B:$C,2,0)</f>
        <v>Ecole de conduite</v>
      </c>
    </row>
    <row r="675" spans="2:3" hidden="1" x14ac:dyDescent="0.25">
      <c r="B675" t="s">
        <v>1127</v>
      </c>
      <c r="C675" t="str">
        <f>VLOOKUP(B675,'Dictionnaire des variables'!$B:$C,2,0)</f>
        <v>Ecoles enseignement supérieur agricole</v>
      </c>
    </row>
    <row r="676" spans="2:3" hidden="1" x14ac:dyDescent="0.25">
      <c r="B676" t="s">
        <v>1128</v>
      </c>
      <c r="C676" t="str">
        <f>VLOOKUP(B676,'Dictionnaire des variables'!$B:$C,2,0)</f>
        <v>Enfants handicapés hébergement</v>
      </c>
    </row>
    <row r="677" spans="2:3" hidden="1" x14ac:dyDescent="0.25">
      <c r="B677" t="s">
        <v>1129</v>
      </c>
      <c r="C677" t="str">
        <f>VLOOKUP(B677,'Dictionnaire des variables'!$B:$C,2,0)</f>
        <v>Enfants handicapés services à domicile ou ambulatoires</v>
      </c>
    </row>
    <row r="678" spans="2:3" hidden="1" x14ac:dyDescent="0.25">
      <c r="B678" t="s">
        <v>977</v>
      </c>
      <c r="C678" t="str">
        <f>VLOOKUP(B678,'Dictionnaire des variables'!$B:$C,2,0)</f>
        <v>Enseignement général supérieur privé</v>
      </c>
    </row>
    <row r="679" spans="2:3" hidden="1" x14ac:dyDescent="0.25">
      <c r="B679" t="s">
        <v>1362</v>
      </c>
      <c r="C679" t="str">
        <f>VLOOKUP(B679,'Dictionnaire des variables'!$B:$C,2,0)</f>
        <v>Entreprise générale du bâtiment</v>
      </c>
    </row>
    <row r="680" spans="2:3" hidden="1" x14ac:dyDescent="0.25">
      <c r="B680" t="s">
        <v>978</v>
      </c>
      <c r="C680" t="str">
        <f>VLOOKUP(B680,'Dictionnaire des variables'!$B:$C,2,0)</f>
        <v>Ergothérapeute</v>
      </c>
    </row>
    <row r="681" spans="2:3" hidden="1" x14ac:dyDescent="0.25">
      <c r="B681" t="s">
        <v>979</v>
      </c>
      <c r="C681" t="str">
        <f>VLOOKUP(B681,'Dictionnaire des variables'!$B:$C,2,0)</f>
        <v>Fleuriste</v>
      </c>
    </row>
    <row r="682" spans="2:3" hidden="1" x14ac:dyDescent="0.25">
      <c r="B682" t="s">
        <v>980</v>
      </c>
      <c r="C682" t="str">
        <f>VLOOKUP(B682,'Dictionnaire des variables'!$B:$C,2,0)</f>
        <v>Formation aux métiers du sport</v>
      </c>
    </row>
    <row r="683" spans="2:3" hidden="1" x14ac:dyDescent="0.25">
      <c r="B683" t="s">
        <v>981</v>
      </c>
      <c r="C683" t="str">
        <f>VLOOKUP(B683,'Dictionnaire des variables'!$B:$C,2,0)</f>
        <v>Formation commerce</v>
      </c>
    </row>
    <row r="684" spans="2:3" hidden="1" x14ac:dyDescent="0.25">
      <c r="B684" t="s">
        <v>982</v>
      </c>
      <c r="C684" t="str">
        <f>VLOOKUP(B684,'Dictionnaire des variables'!$B:$C,2,0)</f>
        <v>Formation sante</v>
      </c>
    </row>
    <row r="685" spans="2:3" hidden="1" x14ac:dyDescent="0.25">
      <c r="B685" t="s">
        <v>983</v>
      </c>
      <c r="C685" t="str">
        <f>VLOOKUP(B685,'Dictionnaire des variables'!$B:$C,2,0)</f>
        <v>GRETA</v>
      </c>
    </row>
    <row r="686" spans="2:3" hidden="1" x14ac:dyDescent="0.25">
      <c r="B686" t="s">
        <v>1363</v>
      </c>
      <c r="C686" t="str">
        <f>VLOOKUP(B686,'Dictionnaire des variables'!$B:$C,2,0)</f>
        <v>Garde enfant âge préscolaire</v>
      </c>
    </row>
    <row r="687" spans="2:3" hidden="1" x14ac:dyDescent="0.25">
      <c r="B687" t="s">
        <v>1364</v>
      </c>
      <c r="C687" t="str">
        <f>VLOOKUP(B687,'Dictionnaire des variables'!$B:$C,2,0)</f>
        <v>Gare avec desserte train à grande vitesse</v>
      </c>
    </row>
    <row r="688" spans="2:3" hidden="1" x14ac:dyDescent="0.25">
      <c r="B688" t="s">
        <v>1365</v>
      </c>
      <c r="C688" t="str">
        <f>VLOOKUP(B688,'Dictionnaire des variables'!$B:$C,2,0)</f>
        <v>Gare sans desserte train à grande vitesse</v>
      </c>
    </row>
    <row r="689" spans="2:3" hidden="1" x14ac:dyDescent="0.25">
      <c r="B689" t="s">
        <v>434</v>
      </c>
      <c r="C689" t="str">
        <f>VLOOKUP(B689,'Dictionnaire des variables'!$B:$C,2,0)</f>
        <v>Gendarmerie</v>
      </c>
    </row>
    <row r="690" spans="2:3" hidden="1" x14ac:dyDescent="0.25">
      <c r="B690" t="s">
        <v>435</v>
      </c>
      <c r="C690" t="str">
        <f>VLOOKUP(B690,'Dictionnaire des variables'!$B:$C,2,0)</f>
        <v>Grande surface de bricolage</v>
      </c>
    </row>
    <row r="691" spans="2:3" hidden="1" x14ac:dyDescent="0.25">
      <c r="B691" t="s">
        <v>984</v>
      </c>
      <c r="C691" t="str">
        <f>VLOOKUP(B691,'Dictionnaire des variables'!$B:$C,2,0)</f>
        <v>Horlogerie Bijouterie</v>
      </c>
    </row>
    <row r="692" spans="2:3" hidden="1" x14ac:dyDescent="0.25">
      <c r="B692" t="s">
        <v>985</v>
      </c>
      <c r="C692" t="str">
        <f>VLOOKUP(B692,'Dictionnaire des variables'!$B:$C,2,0)</f>
        <v>Hospitalisation à domicile</v>
      </c>
    </row>
    <row r="693" spans="2:3" hidden="1" x14ac:dyDescent="0.25">
      <c r="B693" t="s">
        <v>986</v>
      </c>
      <c r="C693" t="str">
        <f>VLOOKUP(B693,'Dictionnaire des variables'!$B:$C,2,0)</f>
        <v>Hypermarché</v>
      </c>
    </row>
    <row r="694" spans="2:3" hidden="1" x14ac:dyDescent="0.25">
      <c r="B694" t="s">
        <v>1366</v>
      </c>
      <c r="C694" t="str">
        <f>VLOOKUP(B694,'Dictionnaire des variables'!$B:$C,2,0)</f>
        <v>Hôtel homologué</v>
      </c>
    </row>
    <row r="695" spans="2:3" hidden="1" x14ac:dyDescent="0.25">
      <c r="B695" t="s">
        <v>987</v>
      </c>
      <c r="C695" t="str">
        <f>VLOOKUP(B695,'Dictionnaire des variables'!$B:$C,2,0)</f>
        <v>Infirmier</v>
      </c>
    </row>
    <row r="696" spans="2:3" hidden="1" x14ac:dyDescent="0.25">
      <c r="B696" t="s">
        <v>988</v>
      </c>
      <c r="C696" t="str">
        <f>VLOOKUP(B696,'Dictionnaire des variables'!$B:$C,2,0)</f>
        <v>Information touristique</v>
      </c>
    </row>
    <row r="697" spans="2:3" hidden="1" x14ac:dyDescent="0.25">
      <c r="B697" t="s">
        <v>989</v>
      </c>
      <c r="C697" t="str">
        <f>VLOOKUP(B697,'Dictionnaire des variables'!$B:$C,2,0)</f>
        <v>Institut universitaire</v>
      </c>
    </row>
    <row r="698" spans="2:3" hidden="1" x14ac:dyDescent="0.25">
      <c r="B698" t="s">
        <v>1130</v>
      </c>
      <c r="C698" t="str">
        <f>VLOOKUP(B698,'Dictionnaire des variables'!$B:$C,2,0)</f>
        <v>Laboratoire analyses et biologie médicales</v>
      </c>
    </row>
    <row r="699" spans="2:3" hidden="1" x14ac:dyDescent="0.25">
      <c r="B699" t="s">
        <v>990</v>
      </c>
      <c r="C699" t="str">
        <f>VLOOKUP(B699,'Dictionnaire des variables'!$B:$C,2,0)</f>
        <v>Librairie papeterie journaux</v>
      </c>
    </row>
    <row r="700" spans="2:3" hidden="1" x14ac:dyDescent="0.25">
      <c r="B700" t="s">
        <v>991</v>
      </c>
      <c r="C700" t="str">
        <f>VLOOKUP(B700,'Dictionnaire des variables'!$B:$C,2,0)</f>
        <v>Location automobiles utilitaires legers</v>
      </c>
    </row>
    <row r="701" spans="2:3" hidden="1" x14ac:dyDescent="0.25">
      <c r="B701" t="s">
        <v>1367</v>
      </c>
      <c r="C701" t="str">
        <f>VLOOKUP(B701,'Dictionnaire des variables'!$B:$C,2,0)</f>
        <v>Lycée enseignement général et/ou technologique</v>
      </c>
    </row>
    <row r="702" spans="2:3" hidden="1" x14ac:dyDescent="0.25">
      <c r="B702" t="s">
        <v>1131</v>
      </c>
      <c r="C702" t="str">
        <f>VLOOKUP(B702,'Dictionnaire des variables'!$B:$C,2,0)</f>
        <v>Lycée enseignement professionnel</v>
      </c>
    </row>
    <row r="703" spans="2:3" hidden="1" x14ac:dyDescent="0.25">
      <c r="B703" t="s">
        <v>1368</v>
      </c>
      <c r="C703" t="str">
        <f>VLOOKUP(B703,'Dictionnaire des variables'!$B:$C,2,0)</f>
        <v>Lycée technique et/ou professionnel agricole</v>
      </c>
    </row>
    <row r="704" spans="2:3" hidden="1" x14ac:dyDescent="0.25">
      <c r="B704" t="s">
        <v>1132</v>
      </c>
      <c r="C704" t="str">
        <f>VLOOKUP(B704,'Dictionnaire des variables'!$B:$C,2,0)</f>
        <v>Magasin de sports et de loisirs</v>
      </c>
    </row>
    <row r="705" spans="2:3" hidden="1" x14ac:dyDescent="0.25">
      <c r="B705" t="s">
        <v>1133</v>
      </c>
      <c r="C705" t="str">
        <f>VLOOKUP(B705,'Dictionnaire des variables'!$B:$C,2,0)</f>
        <v>Magasin optique</v>
      </c>
    </row>
    <row r="706" spans="2:3" hidden="1" x14ac:dyDescent="0.25">
      <c r="B706" t="s">
        <v>1134</v>
      </c>
      <c r="C706" t="str">
        <f>VLOOKUP(B706,'Dictionnaire des variables'!$B:$C,2,0)</f>
        <v>Magasin électromenager et de matériel audiovideo</v>
      </c>
    </row>
    <row r="707" spans="2:3" hidden="1" x14ac:dyDescent="0.25">
      <c r="B707" t="s">
        <v>1135</v>
      </c>
      <c r="C707" t="str">
        <f>VLOOKUP(B707,'Dictionnaire des variables'!$B:$C,2,0)</f>
        <v>Magasin équipements du foyer</v>
      </c>
    </row>
    <row r="708" spans="2:3" hidden="1" x14ac:dyDescent="0.25">
      <c r="B708" t="s">
        <v>992</v>
      </c>
      <c r="C708" t="str">
        <f>VLOOKUP(B708,'Dictionnaire des variables'!$B:$C,2,0)</f>
        <v>Magasin de chaussures</v>
      </c>
    </row>
    <row r="709" spans="2:3" hidden="1" x14ac:dyDescent="0.25">
      <c r="B709" t="s">
        <v>993</v>
      </c>
      <c r="C709" t="str">
        <f>VLOOKUP(B709,'Dictionnaire des variables'!$B:$C,2,0)</f>
        <v>Magasin de meubles</v>
      </c>
    </row>
    <row r="710" spans="2:3" hidden="1" x14ac:dyDescent="0.25">
      <c r="B710" t="s">
        <v>1386</v>
      </c>
      <c r="C710" t="str">
        <f>VLOOKUP(B710,'Dictionnaire des variables'!$B:$C,2,0)</f>
        <v>Magasin de revêtements murs et sols</v>
      </c>
    </row>
    <row r="711" spans="2:3" hidden="1" x14ac:dyDescent="0.25">
      <c r="B711" t="s">
        <v>1387</v>
      </c>
      <c r="C711" t="str">
        <f>VLOOKUP(B711,'Dictionnaire des variables'!$B:$C,2,0)</f>
        <v>Magasin de vêtements</v>
      </c>
    </row>
    <row r="712" spans="2:3" hidden="1" x14ac:dyDescent="0.25">
      <c r="B712" t="s">
        <v>994</v>
      </c>
      <c r="C712" t="str">
        <f>VLOOKUP(B712,'Dictionnaire des variables'!$B:$C,2,0)</f>
        <v>Maison de justice et du droit</v>
      </c>
    </row>
    <row r="713" spans="2:3" hidden="1" x14ac:dyDescent="0.25">
      <c r="B713" t="s">
        <v>995</v>
      </c>
      <c r="C713" t="str">
        <f>VLOOKUP(B713,'Dictionnaire des variables'!$B:$C,2,0)</f>
        <v>Maison de santé pluridisciplinaire</v>
      </c>
    </row>
    <row r="714" spans="2:3" hidden="1" x14ac:dyDescent="0.25">
      <c r="B714" t="s">
        <v>996</v>
      </c>
      <c r="C714" t="str">
        <f>VLOOKUP(B714,'Dictionnaire des variables'!$B:$C,2,0)</f>
        <v>Masseur kinésitherapeute</v>
      </c>
    </row>
    <row r="715" spans="2:3" hidden="1" x14ac:dyDescent="0.25">
      <c r="B715" t="s">
        <v>997</v>
      </c>
      <c r="C715" t="str">
        <f>VLOOKUP(B715,'Dictionnaire des variables'!$B:$C,2,0)</f>
        <v>Maternité</v>
      </c>
    </row>
    <row r="716" spans="2:3" hidden="1" x14ac:dyDescent="0.25">
      <c r="B716" t="s">
        <v>1369</v>
      </c>
      <c r="C716" t="str">
        <f>VLOOKUP(B716,'Dictionnaire des variables'!$B:$C,2,0)</f>
        <v>Maçon</v>
      </c>
    </row>
    <row r="717" spans="2:3" hidden="1" x14ac:dyDescent="0.25">
      <c r="B717" t="s">
        <v>998</v>
      </c>
      <c r="C717" t="str">
        <f>VLOOKUP(B717,'Dictionnaire des variables'!$B:$C,2,0)</f>
        <v>Menuisier charpentier serrurier</v>
      </c>
    </row>
    <row r="718" spans="2:3" hidden="1" x14ac:dyDescent="0.25">
      <c r="B718" t="s">
        <v>436</v>
      </c>
      <c r="C718" t="str">
        <f>VLOOKUP(B718,'Dictionnaire des variables'!$B:$C,2,0)</f>
        <v>Musée</v>
      </c>
    </row>
    <row r="719" spans="2:3" hidden="1" x14ac:dyDescent="0.25">
      <c r="B719" t="s">
        <v>15</v>
      </c>
      <c r="C719" t="str">
        <f>VLOOKUP(B719,'Dictionnaire des variables'!$B:$C,2,0)</f>
        <v>Médecin omnipraticien</v>
      </c>
    </row>
    <row r="720" spans="2:3" hidden="1" x14ac:dyDescent="0.25">
      <c r="B720" t="s">
        <v>999</v>
      </c>
      <c r="C720" t="str">
        <f>VLOOKUP(B720,'Dictionnaire des variables'!$B:$C,2,0)</f>
        <v>Orthophoniste</v>
      </c>
    </row>
    <row r="721" spans="2:3" hidden="1" x14ac:dyDescent="0.25">
      <c r="B721" t="s">
        <v>1000</v>
      </c>
      <c r="C721" t="str">
        <f>VLOOKUP(B721,'Dictionnaire des variables'!$B:$C,2,0)</f>
        <v>Orthoptiste</v>
      </c>
    </row>
    <row r="722" spans="2:3" hidden="1" x14ac:dyDescent="0.25">
      <c r="B722" t="s">
        <v>1370</v>
      </c>
      <c r="C722" t="str">
        <f>VLOOKUP(B722,'Dictionnaire des variables'!$B:$C,2,0)</f>
        <v>Parcours sportif/sante</v>
      </c>
    </row>
    <row r="723" spans="2:3" hidden="1" x14ac:dyDescent="0.25">
      <c r="B723" t="s">
        <v>1001</v>
      </c>
      <c r="C723" t="s">
        <v>1692</v>
      </c>
    </row>
    <row r="724" spans="2:3" hidden="1" x14ac:dyDescent="0.25">
      <c r="B724" t="s">
        <v>1371</v>
      </c>
      <c r="C724" t="str">
        <f>VLOOKUP(B724,'Dictionnaire des variables'!$B:$C,2,0)</f>
        <v>Personnes âgees foyers restaurants</v>
      </c>
    </row>
    <row r="725" spans="2:3" x14ac:dyDescent="0.25">
      <c r="B725" t="s">
        <v>1372</v>
      </c>
      <c r="C725" t="s">
        <v>1735</v>
      </c>
    </row>
    <row r="726" spans="2:3" hidden="1" x14ac:dyDescent="0.25">
      <c r="B726" t="s">
        <v>1373</v>
      </c>
      <c r="C726" t="str">
        <f>VLOOKUP(B726,'Dictionnaire des variables'!$B:$C,2,0)</f>
        <v>Personnes âgees services daide</v>
      </c>
    </row>
    <row r="727" spans="2:3" hidden="1" x14ac:dyDescent="0.25">
      <c r="B727" t="s">
        <v>1374</v>
      </c>
      <c r="C727" t="s">
        <v>1693</v>
      </c>
    </row>
    <row r="728" spans="2:3" hidden="1" x14ac:dyDescent="0.25">
      <c r="B728" t="s">
        <v>16</v>
      </c>
      <c r="C728" t="str">
        <f>VLOOKUP(B728,'Dictionnaire des variables'!$B:$C,2,0)</f>
        <v>Pharmacie</v>
      </c>
    </row>
    <row r="729" spans="2:3" hidden="1" x14ac:dyDescent="0.25">
      <c r="B729" t="s">
        <v>1002</v>
      </c>
      <c r="C729" t="str">
        <f>VLOOKUP(B729,'Dictionnaire des variables'!$B:$C,2,0)</f>
        <v>Plateaux et terrains de jeux exterieurs</v>
      </c>
    </row>
    <row r="730" spans="2:3" hidden="1" x14ac:dyDescent="0.25">
      <c r="B730" t="s">
        <v>1003</v>
      </c>
      <c r="C730" t="str">
        <f>VLOOKUP(B730,'Dictionnaire des variables'!$B:$C,2,0)</f>
        <v>Plombier couvreur chauffagiste</v>
      </c>
    </row>
    <row r="731" spans="2:3" hidden="1" x14ac:dyDescent="0.25">
      <c r="B731" t="s">
        <v>1375</v>
      </c>
      <c r="C731" t="str">
        <f>VLOOKUP(B731,'Dictionnaire des variables'!$B:$C,2,0)</f>
        <v>Plâtrier peintre</v>
      </c>
    </row>
    <row r="732" spans="2:3" hidden="1" x14ac:dyDescent="0.25">
      <c r="B732" t="s">
        <v>437</v>
      </c>
      <c r="C732" t="str">
        <f>VLOOKUP(B732,'Dictionnaire des variables'!$B:$C,2,0)</f>
        <v>Poissonnerie</v>
      </c>
    </row>
    <row r="733" spans="2:3" hidden="1" x14ac:dyDescent="0.25">
      <c r="B733" t="s">
        <v>438</v>
      </c>
      <c r="C733" t="str">
        <f>VLOOKUP(B733,'Dictionnaire des variables'!$B:$C,2,0)</f>
        <v>Commissariat de Police</v>
      </c>
    </row>
    <row r="734" spans="2:3" hidden="1" x14ac:dyDescent="0.25">
      <c r="B734" t="s">
        <v>1376</v>
      </c>
      <c r="C734" t="str">
        <f>VLOOKUP(B734,'Dictionnaire des variables'!$B:$C,2,0)</f>
        <v>Pompes funèbres</v>
      </c>
    </row>
    <row r="735" spans="2:3" hidden="1" x14ac:dyDescent="0.25">
      <c r="B735" t="s">
        <v>1136</v>
      </c>
      <c r="C735" t="str">
        <f>VLOOKUP(B735,'Dictionnaire des variables'!$B:$C,2,0)</f>
        <v>Port de plaisance Mouillage</v>
      </c>
    </row>
    <row r="736" spans="2:3" hidden="1" x14ac:dyDescent="0.25">
      <c r="B736" t="s">
        <v>439</v>
      </c>
      <c r="C736" t="str">
        <f>VLOOKUP(B736,'Dictionnaire des variables'!$B:$C,2,0)</f>
        <v>Produits surgelés</v>
      </c>
    </row>
    <row r="737" spans="2:3" hidden="1" x14ac:dyDescent="0.25">
      <c r="B737" t="s">
        <v>1004</v>
      </c>
      <c r="C737" t="str">
        <f>VLOOKUP(B737,'Dictionnaire des variables'!$B:$C,2,0)</f>
        <v>Psychomotricien</v>
      </c>
    </row>
    <row r="738" spans="2:3" hidden="1" x14ac:dyDescent="0.25">
      <c r="B738" t="s">
        <v>1005</v>
      </c>
      <c r="C738" t="str">
        <f>VLOOKUP(B738,'Dictionnaire des variables'!$B:$C,2,0)</f>
        <v>Pedicurepodologue</v>
      </c>
    </row>
    <row r="739" spans="2:3" hidden="1" x14ac:dyDescent="0.25">
      <c r="B739" t="s">
        <v>1006</v>
      </c>
      <c r="C739" t="str">
        <f>VLOOKUP(B739,'Dictionnaire des variables'!$B:$C,2,0)</f>
        <v>Relais poste</v>
      </c>
    </row>
    <row r="740" spans="2:3" hidden="1" x14ac:dyDescent="0.25">
      <c r="B740" t="s">
        <v>440</v>
      </c>
      <c r="C740" t="str">
        <f>VLOOKUP(B740,'Dictionnaire des variables'!$B:$C,2,0)</f>
        <v>Restaurant</v>
      </c>
    </row>
    <row r="741" spans="2:3" hidden="1" x14ac:dyDescent="0.25">
      <c r="B741" t="s">
        <v>1007</v>
      </c>
      <c r="C741" t="str">
        <f>VLOOKUP(B741,'Dictionnaire des variables'!$B:$C,2,0)</f>
        <v>Restaurant universitaire</v>
      </c>
    </row>
    <row r="742" spans="2:3" hidden="1" x14ac:dyDescent="0.25">
      <c r="B742" t="s">
        <v>1008</v>
      </c>
      <c r="C742" t="str">
        <f>VLOOKUP(B742,'Dictionnaire des variables'!$B:$C,2,0)</f>
        <v>Roller Skate Velo bicross ou freestyle</v>
      </c>
    </row>
    <row r="743" spans="2:3" hidden="1" x14ac:dyDescent="0.25">
      <c r="B743" t="s">
        <v>1009</v>
      </c>
      <c r="C743" t="str">
        <f>VLOOKUP(B743,'Dictionnaire des variables'!$B:$C,2,0)</f>
        <v>Reparation automobile et de materiel agricole</v>
      </c>
    </row>
    <row r="744" spans="2:3" hidden="1" x14ac:dyDescent="0.25">
      <c r="B744" t="s">
        <v>1377</v>
      </c>
      <c r="C744" t="str">
        <f>VLOOKUP(B744,'Dictionnaire des variables'!$B:$C,2,0)</f>
        <v>Reseau de proximité Pôle Emploi</v>
      </c>
    </row>
    <row r="745" spans="2:3" hidden="1" x14ac:dyDescent="0.25">
      <c r="B745" t="s">
        <v>1378</v>
      </c>
      <c r="C745" t="str">
        <f>VLOOKUP(B745,'Dictionnaire des variables'!$B:$C,2,0)</f>
        <v>Reseau partenarial Pôle Emploi</v>
      </c>
    </row>
    <row r="746" spans="2:3" hidden="1" x14ac:dyDescent="0.25">
      <c r="B746" t="s">
        <v>1379</v>
      </c>
      <c r="C746" t="str">
        <f>VLOOKUP(B746,'Dictionnaire des variables'!$B:$C,2,0)</f>
        <v>Reseau specialisé Pôle Emploi</v>
      </c>
    </row>
    <row r="747" spans="2:3" hidden="1" x14ac:dyDescent="0.25">
      <c r="B747" t="s">
        <v>1010</v>
      </c>
      <c r="C747" t="str">
        <f>VLOOKUP(B747,'Dictionnaire des variables'!$B:$C,2,0)</f>
        <v>Residence universitaire</v>
      </c>
    </row>
    <row r="748" spans="2:3" hidden="1" x14ac:dyDescent="0.25">
      <c r="B748" t="s">
        <v>1137</v>
      </c>
      <c r="C748" t="str">
        <f>VLOOKUP(B748,'Dictionnaire des variables'!$B:$C,2,0)</f>
        <v>SEP Section enseignement professionnel</v>
      </c>
    </row>
    <row r="749" spans="2:3" hidden="1" x14ac:dyDescent="0.25">
      <c r="B749" t="s">
        <v>1138</v>
      </c>
      <c r="C749" t="str">
        <f>VLOOKUP(B749,'Dictionnaire des variables'!$B:$C,2,0)</f>
        <v>SGT Section enseignement général et technologique</v>
      </c>
    </row>
    <row r="750" spans="2:3" hidden="1" x14ac:dyDescent="0.25">
      <c r="B750" t="s">
        <v>1011</v>
      </c>
      <c r="C750" t="str">
        <f>VLOOKUP(B750,'Dictionnaire des variables'!$B:$C,2,0)</f>
        <v>Sage femme</v>
      </c>
    </row>
    <row r="751" spans="2:3" hidden="1" x14ac:dyDescent="0.25">
      <c r="B751" t="s">
        <v>1012</v>
      </c>
      <c r="C751" t="str">
        <f>VLOOKUP(B751,'Dictionnaire des variables'!$B:$C,2,0)</f>
        <v>Salles de combat</v>
      </c>
    </row>
    <row r="752" spans="2:3" hidden="1" x14ac:dyDescent="0.25">
      <c r="B752" t="s">
        <v>1013</v>
      </c>
      <c r="C752" t="str">
        <f>VLOOKUP(B752,'Dictionnaire des variables'!$B:$C,2,0)</f>
        <v>Salles de remise en forme</v>
      </c>
    </row>
    <row r="753" spans="2:3" hidden="1" x14ac:dyDescent="0.25">
      <c r="B753" t="s">
        <v>1380</v>
      </c>
      <c r="C753" t="str">
        <f>VLOOKUP(B753,'Dictionnaire des variables'!$B:$C,2,0)</f>
        <v>Salles multisports (gymnase)</v>
      </c>
    </row>
    <row r="754" spans="2:3" hidden="1" x14ac:dyDescent="0.25">
      <c r="B754" t="s">
        <v>1014</v>
      </c>
      <c r="C754" t="str">
        <f>VLOOKUP(B754,'Dictionnaire des variables'!$B:$C,2,0)</f>
        <v>Salles non specialisees</v>
      </c>
    </row>
    <row r="755" spans="2:3" hidden="1" x14ac:dyDescent="0.25">
      <c r="B755" t="s">
        <v>1015</v>
      </c>
      <c r="C755" t="str">
        <f>VLOOKUP(B755,'Dictionnaire des variables'!$B:$C,2,0)</f>
        <v>Salles specialisees</v>
      </c>
    </row>
    <row r="756" spans="2:3" hidden="1" x14ac:dyDescent="0.25">
      <c r="B756" t="s">
        <v>1016</v>
      </c>
      <c r="C756" t="str">
        <f>VLOOKUP(B756,'Dictionnaire des variables'!$B:$C,2,0)</f>
        <v>Section Technicien Superieur Classe Preparatoire aux Grandes Ecoles</v>
      </c>
    </row>
    <row r="757" spans="2:3" hidden="1" x14ac:dyDescent="0.25">
      <c r="B757" t="s">
        <v>1017</v>
      </c>
      <c r="C757" t="str">
        <f>VLOOKUP(B757,'Dictionnaire des variables'!$B:$C,2,0)</f>
        <v>Soins de beauté</v>
      </c>
    </row>
    <row r="758" spans="2:3" hidden="1" x14ac:dyDescent="0.25">
      <c r="B758" t="s">
        <v>1018</v>
      </c>
      <c r="C758" t="str">
        <f>VLOOKUP(B758,'Dictionnaire des variables'!$B:$C,2,0)</f>
        <v>Sports de glace</v>
      </c>
    </row>
    <row r="759" spans="2:3" hidden="1" x14ac:dyDescent="0.25">
      <c r="B759" t="s">
        <v>1019</v>
      </c>
      <c r="C759" t="str">
        <f>VLOOKUP(B759,'Dictionnaire des variables'!$B:$C,2,0)</f>
        <v>Sports nautiques</v>
      </c>
    </row>
    <row r="760" spans="2:3" hidden="1" x14ac:dyDescent="0.25">
      <c r="B760" t="s">
        <v>1020</v>
      </c>
      <c r="C760" t="str">
        <f>VLOOKUP(B760,'Dictionnaire des variables'!$B:$C,2,0)</f>
        <v>Spécialiste en cardiologie</v>
      </c>
    </row>
    <row r="761" spans="2:3" hidden="1" x14ac:dyDescent="0.25">
      <c r="B761" t="s">
        <v>1021</v>
      </c>
      <c r="C761" t="str">
        <f>VLOOKUP(B761,'Dictionnaire des variables'!$B:$C,2,0)</f>
        <v>Spécialiste en dermatologie venereologie</v>
      </c>
    </row>
    <row r="762" spans="2:3" hidden="1" x14ac:dyDescent="0.25">
      <c r="B762" t="s">
        <v>1022</v>
      </c>
      <c r="C762" t="str">
        <f>VLOOKUP(B762,'Dictionnaire des variables'!$B:$C,2,0)</f>
        <v>Spécialiste en gastroenterologie</v>
      </c>
    </row>
    <row r="763" spans="2:3" hidden="1" x14ac:dyDescent="0.25">
      <c r="B763" t="s">
        <v>1023</v>
      </c>
      <c r="C763" t="str">
        <f>VLOOKUP(B763,'Dictionnaire des variables'!$B:$C,2,0)</f>
        <v>Spécialiste en gynecologie medicale</v>
      </c>
    </row>
    <row r="764" spans="2:3" hidden="1" x14ac:dyDescent="0.25">
      <c r="B764" t="s">
        <v>1024</v>
      </c>
      <c r="C764" t="str">
        <f>VLOOKUP(B764,'Dictionnaire des variables'!$B:$C,2,0)</f>
        <v>Spécialiste en gynecologie obstetrique</v>
      </c>
    </row>
    <row r="765" spans="2:3" hidden="1" x14ac:dyDescent="0.25">
      <c r="B765" t="s">
        <v>1025</v>
      </c>
      <c r="C765" t="str">
        <f>VLOOKUP(B765,'Dictionnaire des variables'!$B:$C,2,0)</f>
        <v>Spécialiste en ophtalmologie</v>
      </c>
    </row>
    <row r="766" spans="2:3" hidden="1" x14ac:dyDescent="0.25">
      <c r="B766" t="s">
        <v>1026</v>
      </c>
      <c r="C766" t="str">
        <f>VLOOKUP(B766,'Dictionnaire des variables'!$B:$C,2,0)</f>
        <v>Spécialiste en otorhinolaryngologie</v>
      </c>
    </row>
    <row r="767" spans="2:3" hidden="1" x14ac:dyDescent="0.25">
      <c r="B767" t="s">
        <v>1027</v>
      </c>
      <c r="C767" t="str">
        <f>VLOOKUP(B767,'Dictionnaire des variables'!$B:$C,2,0)</f>
        <v>Spécialiste en pneumologie</v>
      </c>
    </row>
    <row r="768" spans="2:3" hidden="1" x14ac:dyDescent="0.25">
      <c r="B768" t="s">
        <v>1028</v>
      </c>
      <c r="C768" t="str">
        <f>VLOOKUP(B768,'Dictionnaire des variables'!$B:$C,2,0)</f>
        <v>Spécialiste en psychiatrie</v>
      </c>
    </row>
    <row r="769" spans="2:3" hidden="1" x14ac:dyDescent="0.25">
      <c r="B769" t="s">
        <v>1029</v>
      </c>
      <c r="C769" t="str">
        <f>VLOOKUP(B769,'Dictionnaire des variables'!$B:$C,2,0)</f>
        <v>Spécialiste en pediatrie</v>
      </c>
    </row>
    <row r="770" spans="2:3" hidden="1" x14ac:dyDescent="0.25">
      <c r="B770" t="s">
        <v>1030</v>
      </c>
      <c r="C770" t="str">
        <f>VLOOKUP(B770,'Dictionnaire des variables'!$B:$C,2,0)</f>
        <v>Spécialiste en radiodiagnostic et imagerie medicale</v>
      </c>
    </row>
    <row r="771" spans="2:3" hidden="1" x14ac:dyDescent="0.25">
      <c r="B771" t="s">
        <v>1031</v>
      </c>
      <c r="C771" t="str">
        <f>VLOOKUP(B771,'Dictionnaire des variables'!$B:$C,2,0)</f>
        <v>Spécialiste en stomatologie</v>
      </c>
    </row>
    <row r="772" spans="2:3" hidden="1" x14ac:dyDescent="0.25">
      <c r="B772" t="s">
        <v>1032</v>
      </c>
      <c r="C772" t="str">
        <f>VLOOKUP(B772,'Dictionnaire des variables'!$B:$C,2,0)</f>
        <v>Station-Services</v>
      </c>
    </row>
    <row r="773" spans="2:3" hidden="1" x14ac:dyDescent="0.25">
      <c r="B773" t="s">
        <v>1033</v>
      </c>
      <c r="C773" t="str">
        <f>VLOOKUP(B773,'Dictionnaire des variables'!$B:$C,2,0)</f>
        <v>Structures psychiatriques en ambulatoire</v>
      </c>
    </row>
    <row r="774" spans="2:3" hidden="1" x14ac:dyDescent="0.25">
      <c r="B774" t="s">
        <v>1034</v>
      </c>
      <c r="C774" t="str">
        <f>VLOOKUP(B774,'Dictionnaire des variables'!$B:$C,2,0)</f>
        <v>Supermarché</v>
      </c>
    </row>
    <row r="775" spans="2:3" hidden="1" x14ac:dyDescent="0.25">
      <c r="B775" t="s">
        <v>441</v>
      </c>
      <c r="C775" t="str">
        <f>VLOOKUP(B775,'Dictionnaire des variables'!$B:$C,2,0)</f>
        <v>Supérette</v>
      </c>
    </row>
    <row r="776" spans="2:3" hidden="1" x14ac:dyDescent="0.25">
      <c r="B776" t="s">
        <v>1035</v>
      </c>
      <c r="C776" t="str">
        <f>VLOOKUP(B776,'Dictionnaire des variables'!$B:$C,2,0)</f>
        <v>Taxi</v>
      </c>
    </row>
    <row r="777" spans="2:3" hidden="1" x14ac:dyDescent="0.25">
      <c r="B777" t="s">
        <v>1036</v>
      </c>
      <c r="C777" t="str">
        <f>VLOOKUP(B777,'Dictionnaire des variables'!$B:$C,2,0)</f>
        <v>Tennis</v>
      </c>
    </row>
    <row r="778" spans="2:3" hidden="1" x14ac:dyDescent="0.25">
      <c r="B778" t="s">
        <v>1037</v>
      </c>
      <c r="C778" t="str">
        <f>VLOOKUP(B778,'Dictionnaire des variables'!$B:$C,2,0)</f>
        <v>Terrain de golf</v>
      </c>
    </row>
    <row r="779" spans="2:3" hidden="1" x14ac:dyDescent="0.25">
      <c r="B779" t="s">
        <v>1038</v>
      </c>
      <c r="C779" t="str">
        <f>VLOOKUP(B779,'Dictionnaire des variables'!$B:$C,2,0)</f>
        <v>Terrains de grands jeux</v>
      </c>
    </row>
    <row r="780" spans="2:3" hidden="1" x14ac:dyDescent="0.25">
      <c r="B780" t="s">
        <v>1381</v>
      </c>
      <c r="C780" t="s">
        <v>1694</v>
      </c>
    </row>
    <row r="781" spans="2:3" hidden="1" x14ac:dyDescent="0.25">
      <c r="B781" t="s">
        <v>1039</v>
      </c>
      <c r="C781" t="s">
        <v>1695</v>
      </c>
    </row>
    <row r="782" spans="2:3" hidden="1" x14ac:dyDescent="0.25">
      <c r="B782" t="s">
        <v>1040</v>
      </c>
      <c r="C782" t="str">
        <f>VLOOKUP(B782,'Dictionnaire des variables'!$B:$C,2,0)</f>
        <v>Travail protégé</v>
      </c>
    </row>
    <row r="783" spans="2:3" hidden="1" x14ac:dyDescent="0.25">
      <c r="B783" t="s">
        <v>1382</v>
      </c>
      <c r="C783" t="str">
        <f>VLOOKUP(B783,'Dictionnaire des variables'!$B:$C,2,0)</f>
        <v>Tribunal dinstance (TI)</v>
      </c>
    </row>
    <row r="784" spans="2:3" hidden="1" x14ac:dyDescent="0.25">
      <c r="B784" t="s">
        <v>1383</v>
      </c>
      <c r="C784" t="str">
        <f>VLOOKUP(B784,'Dictionnaire des variables'!$B:$C,2,0)</f>
        <v>Tribunal de commerce (TCO)</v>
      </c>
    </row>
    <row r="785" spans="2:3" hidden="1" x14ac:dyDescent="0.25">
      <c r="B785" t="s">
        <v>1384</v>
      </c>
      <c r="C785" t="str">
        <f>VLOOKUP(B785,'Dictionnaire des variables'!$B:$C,2,0)</f>
        <v>Tribunal de grande instance (TGI)</v>
      </c>
    </row>
    <row r="786" spans="2:3" hidden="1" x14ac:dyDescent="0.25">
      <c r="B786" t="s">
        <v>1041</v>
      </c>
      <c r="C786" t="str">
        <f>VLOOKUP(B786,'Dictionnaire des variables'!$B:$C,2,0)</f>
        <v>UFR</v>
      </c>
    </row>
    <row r="787" spans="2:3" hidden="1" x14ac:dyDescent="0.25">
      <c r="B787" t="s">
        <v>1042</v>
      </c>
      <c r="C787" t="str">
        <f>VLOOKUP(B787,'Dictionnaire des variables'!$B:$C,2,0)</f>
        <v>Urgences</v>
      </c>
    </row>
    <row r="788" spans="2:3" hidden="1" x14ac:dyDescent="0.25">
      <c r="B788" t="s">
        <v>1043</v>
      </c>
      <c r="C788" t="str">
        <f>VLOOKUP(B788,'Dictionnaire des variables'!$B:$C,2,0)</f>
        <v>Vétérinaire</v>
      </c>
    </row>
    <row r="789" spans="2:3" hidden="1" x14ac:dyDescent="0.25">
      <c r="B789" t="s">
        <v>1207</v>
      </c>
      <c r="C789" t="str">
        <f>VLOOKUP(B789,'Dictionnaire des variables'!$B:$C,2,0)</f>
        <v>Ecole ingénieurs</v>
      </c>
    </row>
    <row r="790" spans="2:3" hidden="1" x14ac:dyDescent="0.25">
      <c r="B790" t="s">
        <v>14</v>
      </c>
      <c r="C790" t="str">
        <f>VLOOKUP(B790,'Dictionnaire des variables'!$B:$C,2,0)</f>
        <v>Ecole maternelle</v>
      </c>
    </row>
    <row r="791" spans="2:3" hidden="1" x14ac:dyDescent="0.25">
      <c r="B791" t="s">
        <v>13</v>
      </c>
      <c r="C791" t="str">
        <f>VLOOKUP(B791,'Dictionnaire des variables'!$B:$C,2,0)</f>
        <v>Ecole élémentaire</v>
      </c>
    </row>
    <row r="792" spans="2:3" hidden="1" x14ac:dyDescent="0.25">
      <c r="B792" t="s">
        <v>1209</v>
      </c>
      <c r="C792" t="str">
        <f>VLOOKUP(B792,'Dictionnaire des variables'!$B:$C,2,0)</f>
        <v>Electricien</v>
      </c>
    </row>
    <row r="793" spans="2:3" hidden="1" x14ac:dyDescent="0.25">
      <c r="B793" t="s">
        <v>433</v>
      </c>
      <c r="C793" t="str">
        <f>VLOOKUP(B793,'Dictionnaire des variables'!$B:$C,2,0)</f>
        <v>Epicerie</v>
      </c>
    </row>
    <row r="794" spans="2:3" hidden="1" x14ac:dyDescent="0.25">
      <c r="B794" t="s">
        <v>1210</v>
      </c>
      <c r="C794" t="str">
        <f>VLOOKUP(B794,'Dictionnaire des variables'!$B:$C,2,0)</f>
        <v>Equipement de cyclisme</v>
      </c>
    </row>
    <row r="795" spans="2:3" hidden="1" x14ac:dyDescent="0.25">
      <c r="B795" t="s">
        <v>1212</v>
      </c>
      <c r="C795" t="str">
        <f>VLOOKUP(B795,'Dictionnaire des variables'!$B:$C,2,0)</f>
        <v>Etablissement psychiatrique avec hebergement</v>
      </c>
    </row>
    <row r="796" spans="2:3" hidden="1" x14ac:dyDescent="0.25">
      <c r="B796" t="s">
        <v>1214</v>
      </c>
      <c r="C796" t="str">
        <f>VLOOKUP(B796,'Dictionnaire des variables'!$B:$C,2,0)</f>
        <v>Etablissement santé court séjour</v>
      </c>
    </row>
    <row r="797" spans="2:3" hidden="1" x14ac:dyDescent="0.25">
      <c r="B797" t="s">
        <v>1215</v>
      </c>
      <c r="C797" t="str">
        <f>VLOOKUP(B797,'Dictionnaire des variables'!$B:$C,2,0)</f>
        <v>Etablissement santé long séjour</v>
      </c>
    </row>
    <row r="798" spans="2:3" hidden="1" x14ac:dyDescent="0.25">
      <c r="B798" t="s">
        <v>1216</v>
      </c>
      <c r="C798" t="str">
        <f>VLOOKUP(B798,'Dictionnaire des variables'!$B:$C,2,0)</f>
        <v>Etablissement santé moyen séjour</v>
      </c>
    </row>
    <row r="799" spans="2:3" hidden="1" x14ac:dyDescent="0.25">
      <c r="B799" t="s">
        <v>442</v>
      </c>
      <c r="C799" t="str">
        <f>VLOOKUP(B799,'Dictionnaire des variables'!$B:$C,2,0)</f>
        <v>Délai de vente moyen d'un logement (Site 1)</v>
      </c>
    </row>
    <row r="800" spans="2:3" hidden="1" x14ac:dyDescent="0.25">
      <c r="B800" t="s">
        <v>443</v>
      </c>
      <c r="C800" t="str">
        <f>VLOOKUP(B800,'Dictionnaire des variables'!$B:$C,2,0)</f>
        <v>Evolution des prix des logements depuis 1 an (Site 1)</v>
      </c>
    </row>
    <row r="801" spans="2:3" hidden="1" x14ac:dyDescent="0.25">
      <c r="B801" t="s">
        <v>444</v>
      </c>
      <c r="C801" t="str">
        <f>VLOOKUP(B801,'Dictionnaire des variables'!$B:$C,2,0)</f>
        <v>Evolution des prix des logements à 1 an (Site 1)</v>
      </c>
    </row>
    <row r="802" spans="2:3" hidden="1" x14ac:dyDescent="0.25">
      <c r="B802" t="s">
        <v>445</v>
      </c>
      <c r="C802" t="str">
        <f>VLOOKUP(B802,'Dictionnaire des variables'!$B:$C,2,0)</f>
        <v>Evolution des prix des logements à 1 mois (Site 1)</v>
      </c>
    </row>
    <row r="803" spans="2:3" hidden="1" x14ac:dyDescent="0.25">
      <c r="B803" t="s">
        <v>446</v>
      </c>
      <c r="C803" t="str">
        <f>VLOOKUP(B803,'Dictionnaire des variables'!$B:$C,2,0)</f>
        <v>Evolution des prix des logements à 10 ans (Site 1)</v>
      </c>
    </row>
    <row r="804" spans="2:3" hidden="1" x14ac:dyDescent="0.25">
      <c r="B804" t="s">
        <v>447</v>
      </c>
      <c r="C804" t="str">
        <f>VLOOKUP(B804,'Dictionnaire des variables'!$B:$C,2,0)</f>
        <v>Evolution des prix des logements à 2 ans (Site 1)</v>
      </c>
    </row>
    <row r="805" spans="2:3" hidden="1" x14ac:dyDescent="0.25">
      <c r="B805" t="s">
        <v>448</v>
      </c>
      <c r="C805" t="str">
        <f>VLOOKUP(B805,'Dictionnaire des variables'!$B:$C,2,0)</f>
        <v>Evolution des prix des logements à 3 mois (Site 1)</v>
      </c>
    </row>
    <row r="806" spans="2:3" hidden="1" x14ac:dyDescent="0.25">
      <c r="B806" t="s">
        <v>449</v>
      </c>
      <c r="C806" t="str">
        <f>VLOOKUP(B806,'Dictionnaire des variables'!$B:$C,2,0)</f>
        <v>Evolution des prix des logements à 5 ans (Site 1)</v>
      </c>
    </row>
    <row r="807" spans="2:3" hidden="1" x14ac:dyDescent="0.25">
      <c r="B807" t="s">
        <v>1398</v>
      </c>
      <c r="C807" t="str">
        <f>VLOOKUP(B807,'Dictionnaire des variables'!$B:$C,2,0)</f>
        <v>Loyer mensuel par m2 maximum (Site 1)</v>
      </c>
    </row>
    <row r="808" spans="2:3" hidden="1" x14ac:dyDescent="0.25">
      <c r="B808" t="s">
        <v>1399</v>
      </c>
      <c r="C808" t="str">
        <f>VLOOKUP(B808,'Dictionnaire des variables'!$B:$C,2,0)</f>
        <v>Loyer mensuel par m2 minimum (Site 1)</v>
      </c>
    </row>
    <row r="809" spans="2:3" hidden="1" x14ac:dyDescent="0.25">
      <c r="B809" t="s">
        <v>1400</v>
      </c>
      <c r="C809" t="str">
        <f>VLOOKUP(B809,'Dictionnaire des variables'!$B:$C,2,0)</f>
        <v>Loyer mensuel par m2 moyen (Site 1)</v>
      </c>
    </row>
    <row r="810" spans="2:3" x14ac:dyDescent="0.25">
      <c r="B810" t="s">
        <v>1586</v>
      </c>
      <c r="C810" t="e">
        <f>VLOOKUP(B810,'Dictionnaire des variables'!$B:$C,2,0)</f>
        <v>#N/A</v>
      </c>
    </row>
    <row r="811" spans="2:3" hidden="1" x14ac:dyDescent="0.25">
      <c r="B811" t="s">
        <v>450</v>
      </c>
      <c r="C811" t="str">
        <f>VLOOKUP(B811,'Dictionnaire des variables'!$B:$C,2,0)</f>
        <v>Part des ménages résidents pouvant acheter un 60 m2 (Site 1)</v>
      </c>
    </row>
    <row r="812" spans="2:3" hidden="1" x14ac:dyDescent="0.25">
      <c r="B812" t="s">
        <v>451</v>
      </c>
      <c r="C812" t="s">
        <v>1696</v>
      </c>
    </row>
    <row r="813" spans="2:3" hidden="1" x14ac:dyDescent="0.25">
      <c r="B813" t="s">
        <v>452</v>
      </c>
      <c r="C813" t="str">
        <f>VLOOKUP(B813,'Dictionnaire des variables'!$B:$C,2,0)</f>
        <v>Prix m2 appartement max (Site 1)</v>
      </c>
    </row>
    <row r="814" spans="2:3" hidden="1" x14ac:dyDescent="0.25">
      <c r="B814" t="s">
        <v>453</v>
      </c>
      <c r="C814" t="str">
        <f>VLOOKUP(B814,'Dictionnaire des variables'!$B:$C,2,0)</f>
        <v>Prix m2 appartement min (Site 1)</v>
      </c>
    </row>
    <row r="815" spans="2:3" hidden="1" x14ac:dyDescent="0.25">
      <c r="B815" t="s">
        <v>42</v>
      </c>
      <c r="C815" t="str">
        <f>VLOOKUP(B815,'Dictionnaire des variables'!$B:$C,2,0)</f>
        <v>Prix m2 appartement moyen (Site 1)</v>
      </c>
    </row>
    <row r="816" spans="2:3" hidden="1" x14ac:dyDescent="0.25">
      <c r="B816" t="s">
        <v>454</v>
      </c>
      <c r="C816" t="str">
        <f>VLOOKUP(B816,'Dictionnaire des variables'!$B:$C,2,0)</f>
        <v>Prix m2 maison (Site 1)</v>
      </c>
    </row>
    <row r="817" spans="2:3" hidden="1" x14ac:dyDescent="0.25">
      <c r="B817" t="s">
        <v>455</v>
      </c>
      <c r="C817" t="str">
        <f>VLOOKUP(B817,'Dictionnaire des variables'!$B:$C,2,0)</f>
        <v>Prix m2 maison max (Site 1)</v>
      </c>
    </row>
    <row r="818" spans="2:3" hidden="1" x14ac:dyDescent="0.25">
      <c r="B818" t="s">
        <v>456</v>
      </c>
      <c r="C818" t="str">
        <f>VLOOKUP(B818,'Dictionnaire des variables'!$B:$C,2,0)</f>
        <v>Prix m2 maison min (Site 1)</v>
      </c>
    </row>
    <row r="819" spans="2:3" hidden="1" x14ac:dyDescent="0.25">
      <c r="B819" t="s">
        <v>43</v>
      </c>
      <c r="C819" t="str">
        <f>VLOOKUP(B819,'Dictionnaire des variables'!$B:$C,2,0)</f>
        <v>Prix m2 maison moyen (Site 1)</v>
      </c>
    </row>
    <row r="820" spans="2:3" hidden="1" x14ac:dyDescent="0.25">
      <c r="B820" t="s">
        <v>1140</v>
      </c>
      <c r="C820" t="str">
        <f>VLOOKUP(B820,'Dictionnaire des variables'!$B:$C,2,0)</f>
        <v>Loyer mensuel par m2 : 2 pieces (Site 1)</v>
      </c>
    </row>
    <row r="821" spans="2:3" hidden="1" x14ac:dyDescent="0.25">
      <c r="B821" t="s">
        <v>1141</v>
      </c>
      <c r="C821" t="str">
        <f>VLOOKUP(B821,'Dictionnaire des variables'!$B:$C,2,0)</f>
        <v>Loyer mensuel par m2 : 3 pieces (Site 1)</v>
      </c>
    </row>
    <row r="822" spans="2:3" hidden="1" x14ac:dyDescent="0.25">
      <c r="B822" t="s">
        <v>1683</v>
      </c>
      <c r="C822" t="str">
        <f>VLOOKUP(B822,'Dictionnaire des variables'!$B:$C,2,0)</f>
        <v>Loyer mensuel par mètre carré pour un 4pièces et plus</v>
      </c>
    </row>
    <row r="823" spans="2:3" hidden="1" x14ac:dyDescent="0.25">
      <c r="B823" t="s">
        <v>1143</v>
      </c>
      <c r="C823" t="str">
        <f>VLOOKUP(B823,'Dictionnaire des variables'!$B:$C,2,0)</f>
        <v>Loyer mensuel par m2 : Studio (Site 1)</v>
      </c>
    </row>
    <row r="824" spans="2:3" hidden="1" x14ac:dyDescent="0.25">
      <c r="B824" t="s">
        <v>1144</v>
      </c>
      <c r="C824" t="str">
        <f>VLOOKUP(B824,'Dictionnaire des variables'!$B:$C,2,0)</f>
        <v>Loyer mensuel par m2 : Tous type de bien (Site 1)</v>
      </c>
    </row>
    <row r="825" spans="2:3" hidden="1" x14ac:dyDescent="0.25">
      <c r="B825" t="s">
        <v>457</v>
      </c>
      <c r="C825" t="str">
        <f>VLOOKUP(B825,'Dictionnaire des variables'!$B:$C,2,0)</f>
        <v>Moyenne appartement alentours (Site 1)</v>
      </c>
    </row>
    <row r="826" spans="2:3" hidden="1" x14ac:dyDescent="0.25">
      <c r="B826" t="s">
        <v>458</v>
      </c>
      <c r="C826" t="str">
        <f>VLOOKUP(B826,'Dictionnaire des variables'!$B:$C,2,0)</f>
        <v>Moyenne loyer appartement alentours (Site 1)</v>
      </c>
    </row>
    <row r="827" spans="2:3" hidden="1" x14ac:dyDescent="0.25">
      <c r="B827" t="s">
        <v>459</v>
      </c>
      <c r="C827" t="str">
        <f>VLOOKUP(B827,'Dictionnaire des variables'!$B:$C,2,0)</f>
        <v>Moyenne maison alentours (Site 1)</v>
      </c>
    </row>
    <row r="828" spans="2:3" hidden="1" x14ac:dyDescent="0.25">
      <c r="B828" t="s">
        <v>460</v>
      </c>
      <c r="C828" t="str">
        <f>VLOOKUP(B828,'Dictionnaire des variables'!$B:$C,2,0)</f>
        <v>Rapport loyer appartement vs alentour (Site 1)</v>
      </c>
    </row>
    <row r="829" spans="2:3" hidden="1" x14ac:dyDescent="0.25">
      <c r="B829" t="s">
        <v>461</v>
      </c>
      <c r="C829" t="str">
        <f>VLOOKUP(B829,'Dictionnaire des variables'!$B:$C,2,0)</f>
        <v>Rapport prix m2 appartement vs alentour (Site 1)</v>
      </c>
    </row>
    <row r="830" spans="2:3" hidden="1" x14ac:dyDescent="0.25">
      <c r="B830" t="s">
        <v>462</v>
      </c>
      <c r="C830" t="str">
        <f>VLOOKUP(B830,'Dictionnaire des variables'!$B:$C,2,0)</f>
        <v>Rapport prix m2 maison vs alentour (Site 1)</v>
      </c>
    </row>
    <row r="831" spans="2:3" hidden="1" x14ac:dyDescent="0.25">
      <c r="B831" t="s">
        <v>457</v>
      </c>
      <c r="C831" t="str">
        <f>VLOOKUP(B831,'Dictionnaire des variables'!$B:$C,2,0)</f>
        <v>Moyenne appartement alentours (Site 1)</v>
      </c>
    </row>
    <row r="832" spans="2:3" hidden="1" x14ac:dyDescent="0.25">
      <c r="B832" t="s">
        <v>458</v>
      </c>
      <c r="C832" t="str">
        <f>VLOOKUP(B832,'Dictionnaire des variables'!$B:$C,2,0)</f>
        <v>Moyenne loyer appartement alentours (Site 1)</v>
      </c>
    </row>
    <row r="833" spans="2:3" hidden="1" x14ac:dyDescent="0.25">
      <c r="B833" t="s">
        <v>459</v>
      </c>
      <c r="C833" t="str">
        <f>VLOOKUP(B833,'Dictionnaire des variables'!$B:$C,2,0)</f>
        <v>Moyenne maison alentours (Site 1)</v>
      </c>
    </row>
    <row r="834" spans="2:3" hidden="1" x14ac:dyDescent="0.25">
      <c r="B834" t="s">
        <v>460</v>
      </c>
      <c r="C834" t="str">
        <f>VLOOKUP(B834,'Dictionnaire des variables'!$B:$C,2,0)</f>
        <v>Rapport loyer appartement vs alentour (Site 1)</v>
      </c>
    </row>
    <row r="835" spans="2:3" hidden="1" x14ac:dyDescent="0.25">
      <c r="B835" t="s">
        <v>461</v>
      </c>
      <c r="C835" t="str">
        <f>VLOOKUP(B835,'Dictionnaire des variables'!$B:$C,2,0)</f>
        <v>Rapport prix m2 appartement vs alentour (Site 1)</v>
      </c>
    </row>
    <row r="836" spans="2:3" hidden="1" x14ac:dyDescent="0.25">
      <c r="B836" t="s">
        <v>462</v>
      </c>
      <c r="C836" t="str">
        <f>VLOOKUP(B836,'Dictionnaire des variables'!$B:$C,2,0)</f>
        <v>Rapport prix m2 maison vs alentour (Site 1)</v>
      </c>
    </row>
  </sheetData>
  <autoFilter ref="B4:C836">
    <filterColumn colId="1">
      <filters>
        <filter val="#N/A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1697</v>
      </c>
    </row>
    <row r="2" spans="1:1" x14ac:dyDescent="0.25">
      <c r="A2" t="s">
        <v>1701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Dictionnaire des variables</vt:lpstr>
      <vt:lpstr>dico_variables</vt:lpstr>
      <vt:lpstr>Type et couleur</vt:lpstr>
      <vt:lpstr>Ajout nouvelles variables</vt:lpstr>
      <vt:lpstr>Modifs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HCcenter</dc:creator>
  <cp:lastModifiedBy>HCcenter</cp:lastModifiedBy>
  <dcterms:created xsi:type="dcterms:W3CDTF">2017-02-09T10:02:11Z</dcterms:created>
  <dcterms:modified xsi:type="dcterms:W3CDTF">2017-03-29T08:11:54Z</dcterms:modified>
</cp:coreProperties>
</file>